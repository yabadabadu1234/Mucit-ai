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Hesap" sheetId="2" state="visible" r:id="rId2"/>
    <sheet xmlns:r="http://schemas.openxmlformats.org/officeDocument/2006/relationships" name="Sonuc" sheetId="3" state="visible" r:id="rId3"/>
    <sheet xmlns:r="http://schemas.openxmlformats.org/officeDocument/2006/relationships" name="Senaryolar_Pyth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6" customWidth="1" min="7" max="7"/>
  </cols>
  <sheetData>
    <row r="1">
      <c r="A1" s="1" t="inlineStr">
        <is>
          <t>MİKRO MÜKELLEFİYET MALİ ETKİ MODELİ: GİRDİLER (sarı hücreler değiştirilebilir)</t>
        </is>
      </c>
    </row>
    <row r="2">
      <c r="A2" t="inlineStr">
        <is>
          <t>Aktif senaryo (1=Kötümser, 2=Orta, 3=İyimser):</t>
        </is>
      </c>
      <c r="D2" s="2" t="n">
        <v>2</v>
      </c>
    </row>
    <row r="3">
      <c r="A3" t="inlineStr">
        <is>
          <t>Tüm tutarlar sabit 2026 TL. Girdilerin çoğu ölçülmemiş varsayımdır (Kaynak sütununa bakınız).</t>
        </is>
      </c>
    </row>
    <row r="5">
      <c r="A5" s="3" t="inlineStr">
        <is>
          <t>Girdi</t>
        </is>
      </c>
      <c r="B5" s="3" t="inlineStr">
        <is>
          <t>Kod</t>
        </is>
      </c>
      <c r="C5" s="3" t="inlineStr">
        <is>
          <t>Kötümser</t>
        </is>
      </c>
      <c r="D5" s="3" t="inlineStr">
        <is>
          <t>Orta</t>
        </is>
      </c>
      <c r="E5" s="3" t="inlineStr">
        <is>
          <t>İyimser</t>
        </is>
      </c>
      <c r="F5" s="3" t="inlineStr">
        <is>
          <t>AKTİF</t>
        </is>
      </c>
      <c r="G5" s="3" t="inlineStr">
        <is>
          <t>Kaynak/durum</t>
        </is>
      </c>
    </row>
    <row r="6">
      <c r="A6" t="inlineStr">
        <is>
          <t>Brüt asgari ücret (TL/ay)</t>
        </is>
      </c>
      <c r="B6" t="inlineStr">
        <is>
          <t>W</t>
        </is>
      </c>
      <c r="C6" s="2" t="n">
        <v>33030</v>
      </c>
      <c r="D6" s="2" t="n">
        <v>33030</v>
      </c>
      <c r="E6" s="2" t="n">
        <v>33030</v>
      </c>
      <c r="F6" s="4">
        <f>INDEX(C6:E6,$D$2)</f>
        <v/>
      </c>
      <c r="G6" t="inlineStr">
        <is>
          <t>Birden çok kaynakta tutarlı; resmî metin okunmadı</t>
        </is>
      </c>
    </row>
    <row r="7">
      <c r="A7" t="inlineStr">
        <is>
          <t>Medyan yıllık hasılat (asgari ücret katı)</t>
        </is>
      </c>
      <c r="B7" t="inlineStr">
        <is>
          <t>medyan_W</t>
        </is>
      </c>
      <c r="C7" s="2" t="n">
        <v>4</v>
      </c>
      <c r="D7" s="2" t="n">
        <v>5</v>
      </c>
      <c r="E7" s="2" t="n">
        <v>6</v>
      </c>
      <c r="F7" s="4">
        <f>INDEX(C7:E7,$D$2)</f>
        <v/>
      </c>
      <c r="G7" t="inlineStr">
        <is>
          <t>Varsayım</t>
        </is>
      </c>
    </row>
    <row r="8">
      <c r="A8" t="inlineStr">
        <is>
          <t>Hasılat dağılımı yayılımı (σ, log-normal)</t>
        </is>
      </c>
      <c r="B8" t="inlineStr">
        <is>
          <t>sigma</t>
        </is>
      </c>
      <c r="C8" s="2" t="n">
        <v>0.9</v>
      </c>
      <c r="D8" s="2" t="n">
        <v>0.9</v>
      </c>
      <c r="E8" s="2" t="n">
        <v>0.9</v>
      </c>
      <c r="F8" s="4">
        <f>INDEX(C8:E8,$D$2)</f>
        <v/>
      </c>
      <c r="G8" t="inlineStr">
        <is>
          <t>Varsayım</t>
        </is>
      </c>
    </row>
    <row r="9">
      <c r="A9" t="inlineStr">
        <is>
          <t>Katılımcı sayısı (kararlı durum, kişi)</t>
        </is>
      </c>
      <c r="B9" t="inlineStr">
        <is>
          <t>n_toplam</t>
        </is>
      </c>
      <c r="C9" s="2" t="n">
        <v>150000</v>
      </c>
      <c r="D9" s="2" t="n">
        <v>350000</v>
      </c>
      <c r="E9" s="2" t="n">
        <v>700000</v>
      </c>
      <c r="F9" s="4">
        <f>INDEX(C9:E9,$D$2)</f>
        <v/>
      </c>
      <c r="G9" t="inlineStr">
        <is>
          <t>Varsayım; veri talebi: GİB, SGK</t>
        </is>
      </c>
    </row>
    <row r="10">
      <c r="A10" t="inlineStr">
        <is>
          <t>Halen kayıtlı olup rejime geçenlerin payı (s)</t>
        </is>
      </c>
      <c r="B10" t="inlineStr">
        <is>
          <t>s_kayitli</t>
        </is>
      </c>
      <c r="C10" s="2" t="n">
        <v>0.3</v>
      </c>
      <c r="D10" s="2" t="n">
        <v>0.15</v>
      </c>
      <c r="E10" s="2" t="n">
        <v>0.05</v>
      </c>
      <c r="F10" s="4">
        <f>INDEX(C10:E10,$D$2)</f>
        <v/>
      </c>
      <c r="G10" t="inlineStr">
        <is>
          <t>Varsayım; prim sürdüğü için sonucu az etkiler</t>
        </is>
      </c>
    </row>
    <row r="11">
      <c r="A11" t="inlineStr">
        <is>
          <t>Halen kayıtlı olanın 4/b primine devamı (1 = prim sürer)</t>
        </is>
      </c>
      <c r="B11" t="inlineStr">
        <is>
          <t>prim_devam</t>
        </is>
      </c>
      <c r="C11" s="2" t="n">
        <v>1</v>
      </c>
      <c r="D11" s="2" t="n">
        <v>1</v>
      </c>
      <c r="E11" s="2" t="n">
        <v>1</v>
      </c>
      <c r="F11" s="4">
        <f>INDEX(C11:E11,$D$2)</f>
        <v/>
      </c>
      <c r="G11" t="inlineStr">
        <is>
          <t>Teklif Madde 1 (p)</t>
        </is>
      </c>
    </row>
    <row r="12">
      <c r="A12" t="inlineStr">
        <is>
          <t>Ücretli ek gelir payı (u)</t>
        </is>
      </c>
      <c r="B12" t="inlineStr">
        <is>
          <t>u_ucretli</t>
        </is>
      </c>
      <c r="C12" s="2" t="n">
        <v>0.25</v>
      </c>
      <c r="D12" s="2" t="n">
        <v>0.2</v>
      </c>
      <c r="E12" s="2" t="n">
        <v>0.15</v>
      </c>
      <c r="F12" s="4">
        <f>INDEX(C12:E12,$D$2)</f>
        <v/>
      </c>
      <c r="G12" t="inlineStr">
        <is>
          <t>Varsayım</t>
        </is>
      </c>
    </row>
    <row r="13">
      <c r="A13" t="inlineStr">
        <is>
          <t>Götürü gider oranı</t>
        </is>
      </c>
      <c r="B13" t="inlineStr">
        <is>
          <t>gider</t>
        </is>
      </c>
      <c r="C13" s="2" t="n">
        <v>0.3</v>
      </c>
      <c r="D13" s="2" t="n">
        <v>0.3</v>
      </c>
      <c r="E13" s="2" t="n">
        <v>0.3</v>
      </c>
      <c r="F13" s="4">
        <f>INDEX(C13:E13,$D$2)</f>
        <v/>
      </c>
      <c r="G13" t="inlineStr">
        <is>
          <t>Teklif Madde 1 (a)</t>
        </is>
      </c>
    </row>
    <row r="14">
      <c r="A14" t="inlineStr">
        <is>
          <t>BES aktarım oranı (tevkifatın)</t>
        </is>
      </c>
      <c r="B14" t="inlineStr">
        <is>
          <t>bes</t>
        </is>
      </c>
      <c r="C14" s="2" t="n">
        <v>0.03</v>
      </c>
      <c r="D14" s="2" t="n">
        <v>0.03</v>
      </c>
      <c r="E14" s="2" t="n">
        <v>0.03</v>
      </c>
      <c r="F14" s="4">
        <f>INDEX(C14:E14,$D$2)</f>
        <v/>
      </c>
      <c r="G14" t="inlineStr">
        <is>
          <t>Teklif Madde 9</t>
        </is>
      </c>
    </row>
    <row r="15">
      <c r="A15" t="inlineStr">
        <is>
          <t>Devlet katkısı oranı</t>
        </is>
      </c>
      <c r="B15" t="inlineStr">
        <is>
          <t>devlet_katki</t>
        </is>
      </c>
      <c r="C15" s="2" t="n">
        <v>0.2</v>
      </c>
      <c r="D15" s="2" t="n">
        <v>0.2</v>
      </c>
      <c r="E15" s="2" t="n">
        <v>0.2</v>
      </c>
      <c r="F15" s="4">
        <f>INDEX(C15:E15,$D$2)</f>
        <v/>
      </c>
      <c r="G15" t="inlineStr">
        <is>
          <t>4632 Ek 1 + 10811 sayılı Karar (ikincil)</t>
        </is>
      </c>
    </row>
    <row r="16">
      <c r="A16" t="inlineStr">
        <is>
          <t>BES vazgeçme payı</t>
        </is>
      </c>
      <c r="B16" t="inlineStr">
        <is>
          <t>bes_vazgecme</t>
        </is>
      </c>
      <c r="C16" s="2" t="n">
        <v>0.2</v>
      </c>
      <c r="D16" s="2" t="n">
        <v>0.35</v>
      </c>
      <c r="E16" s="2" t="n">
        <v>0.5</v>
      </c>
      <c r="F16" s="4">
        <f>INDEX(C16:E16,$D$2)</f>
        <v/>
      </c>
      <c r="G16" t="inlineStr">
        <is>
          <t>Varsayım</t>
        </is>
      </c>
    </row>
    <row r="17">
      <c r="A17" t="inlineStr">
        <is>
          <t>MYÖ prim oranı</t>
        </is>
      </c>
      <c r="B17" t="inlineStr">
        <is>
          <t>myo_oran</t>
        </is>
      </c>
      <c r="C17" s="2" t="n">
        <v>0.21</v>
      </c>
      <c r="D17" s="2" t="n">
        <v>0.21</v>
      </c>
      <c r="E17" s="2" t="n">
        <v>0.21</v>
      </c>
      <c r="F17" s="4">
        <f>INDEX(C17:E17,$D$2)</f>
        <v/>
      </c>
      <c r="G17" t="inlineStr">
        <is>
          <t>5510 m.81</t>
        </is>
      </c>
    </row>
    <row r="18">
      <c r="A18" t="inlineStr">
        <is>
          <t>Hibe prim süresi (ay)</t>
        </is>
      </c>
      <c r="B18" t="inlineStr">
        <is>
          <t>myo_gun_ay</t>
        </is>
      </c>
      <c r="C18" s="2" t="n">
        <v>3</v>
      </c>
      <c r="D18" s="2" t="n">
        <v>3</v>
      </c>
      <c r="E18" s="2" t="n">
        <v>3</v>
      </c>
      <c r="F18" s="4">
        <f>INDEX(C18:E18,$D$2)</f>
        <v/>
      </c>
      <c r="G18" t="inlineStr">
        <is>
          <t>Teklif 5510 Ek 25 (90 gün)</t>
        </is>
      </c>
    </row>
    <row r="19">
      <c r="A19" t="inlineStr">
        <is>
          <t>90 gün primi hak edenlerin payı (çakışmasız)</t>
        </is>
      </c>
      <c r="B19" t="inlineStr">
        <is>
          <t>myo_uygun</t>
        </is>
      </c>
      <c r="C19" s="2" t="n">
        <v>0.5</v>
      </c>
      <c r="D19" s="2" t="n">
        <v>0.35</v>
      </c>
      <c r="E19" s="2" t="n">
        <v>0.2</v>
      </c>
      <c r="F19" s="4">
        <f>INDEX(C19:E19,$D$2)</f>
        <v/>
      </c>
      <c r="G19" t="inlineStr">
        <is>
          <t>Varsayım</t>
        </is>
      </c>
    </row>
    <row r="20">
      <c r="A20" t="inlineStr">
        <is>
          <t>Donanım alan payı</t>
        </is>
      </c>
      <c r="B20" t="inlineStr">
        <is>
          <t>kdv_donanim_pay</t>
        </is>
      </c>
      <c r="C20" s="2" t="n">
        <v>0.5</v>
      </c>
      <c r="D20" s="2" t="n">
        <v>0.4</v>
      </c>
      <c r="E20" s="2" t="n">
        <v>0.3</v>
      </c>
      <c r="F20" s="4">
        <f>INDEX(C20:E20,$D$2)</f>
        <v/>
      </c>
      <c r="G20" t="inlineStr">
        <is>
          <t>Varsayım</t>
        </is>
      </c>
    </row>
    <row r="21">
      <c r="A21" t="inlineStr">
        <is>
          <t>Yıllık donanım KDV ortalaması (TL)</t>
        </is>
      </c>
      <c r="B21" t="inlineStr">
        <is>
          <t>kdv_donanim_kdv</t>
        </is>
      </c>
      <c r="C21" s="2" t="n">
        <v>5000</v>
      </c>
      <c r="D21" s="2" t="n">
        <v>5000</v>
      </c>
      <c r="E21" s="2" t="n">
        <v>5000</v>
      </c>
      <c r="F21" s="4">
        <f>INDEX(C21:E21,$D$2)</f>
        <v/>
      </c>
      <c r="G21" t="inlineStr">
        <is>
          <t>Varsayım</t>
        </is>
      </c>
    </row>
    <row r="22">
      <c r="A22" t="inlineStr">
        <is>
          <t>KDV mahsup üst sınırı (tevkifatın oranı)</t>
        </is>
      </c>
      <c r="B22" t="inlineStr">
        <is>
          <t>kdv_mahsup_tavan</t>
        </is>
      </c>
      <c r="C22" s="2" t="n">
        <v>0.5</v>
      </c>
      <c r="D22" s="2" t="n">
        <v>0.5</v>
      </c>
      <c r="E22" s="2" t="n">
        <v>0.5</v>
      </c>
      <c r="F22" s="4">
        <f>INDEX(C22:E22,$D$2)</f>
        <v/>
      </c>
      <c r="G22" t="inlineStr">
        <is>
          <t>Teklif Madde 3 önerisi</t>
        </is>
      </c>
    </row>
    <row r="23">
      <c r="A23" t="inlineStr">
        <is>
          <t>Eski rejimde kâr marjı</t>
        </is>
      </c>
      <c r="B23" t="inlineStr">
        <is>
          <t>marj</t>
        </is>
      </c>
      <c r="C23" s="2" t="n">
        <v>0.5</v>
      </c>
      <c r="D23" s="2" t="n">
        <v>0.5</v>
      </c>
      <c r="E23" s="2" t="n">
        <v>0.5</v>
      </c>
      <c r="F23" s="4">
        <f>INDEX(C23:E23,$D$2)</f>
        <v/>
      </c>
      <c r="G23" t="inlineStr">
        <is>
          <t>Varsayım</t>
        </is>
      </c>
    </row>
    <row r="24">
      <c r="A24" t="inlineStr">
        <is>
          <t>Eski 4/b yıllık asgari prim (TL)</t>
        </is>
      </c>
      <c r="B24" t="inlineStr">
        <is>
          <t>prim_eski</t>
        </is>
      </c>
      <c r="C24" s="2" t="n">
        <v>141699</v>
      </c>
      <c r="D24" s="2" t="n">
        <v>141699</v>
      </c>
      <c r="E24" s="2" t="n">
        <v>141699</v>
      </c>
      <c r="F24" s="4">
        <f>INDEX(C24:E24,$D$2)</f>
        <v/>
      </c>
      <c r="G24" t="inlineStr">
        <is>
          <t>33.030×%35,75×12</t>
        </is>
      </c>
    </row>
    <row r="25">
      <c r="A25" t="inlineStr">
        <is>
          <t>Eski prim ödeme oranı</t>
        </is>
      </c>
      <c r="B25" t="inlineStr">
        <is>
          <t>prim_odeme</t>
        </is>
      </c>
      <c r="C25" s="2" t="n">
        <v>0.8</v>
      </c>
      <c r="D25" s="2" t="n">
        <v>0.8</v>
      </c>
      <c r="E25" s="2" t="n">
        <v>0.8</v>
      </c>
      <c r="F25" s="4">
        <f>INDEX(C25:E25,$D$2)</f>
        <v/>
      </c>
      <c r="G25" t="inlineStr">
        <is>
          <t>Varsayım</t>
        </is>
      </c>
    </row>
    <row r="26">
      <c r="A26" t="inlineStr">
        <is>
          <t>Ücretlinin marjinal oranı</t>
        </is>
      </c>
      <c r="B26" t="inlineStr">
        <is>
          <t>r_marj_ucretli</t>
        </is>
      </c>
      <c r="C26" s="2" t="n">
        <v>0.27</v>
      </c>
      <c r="D26" s="2" t="n">
        <v>0.27</v>
      </c>
      <c r="E26" s="2" t="n">
        <v>0.27</v>
      </c>
      <c r="F26" s="4">
        <f>INDEX(C26:E26,$D$2)</f>
        <v/>
      </c>
      <c r="G26" t="inlineStr">
        <is>
          <t>Varsayım</t>
        </is>
      </c>
    </row>
    <row r="27">
      <c r="A27" t="inlineStr">
        <is>
          <t>Ücretlinin eski rejimde uyum oranı</t>
        </is>
      </c>
      <c r="B27" t="inlineStr">
        <is>
          <t>uyum_ucretli</t>
        </is>
      </c>
      <c r="C27" s="2" t="n">
        <v>0.5</v>
      </c>
      <c r="D27" s="2" t="n">
        <v>0.5</v>
      </c>
      <c r="E27" s="2" t="n">
        <v>0.5</v>
      </c>
      <c r="F27" s="4">
        <f>INDEX(C27:E27,$D$2)</f>
        <v/>
      </c>
      <c r="G27" t="inlineStr">
        <is>
          <t>Varsayım</t>
        </is>
      </c>
    </row>
    <row r="28">
      <c r="A28" t="inlineStr">
        <is>
          <t>Kurumsal alıcı payı</t>
        </is>
      </c>
      <c r="B28" t="inlineStr">
        <is>
          <t>kurumsal_pay</t>
        </is>
      </c>
      <c r="C28" s="2" t="n">
        <v>0.7</v>
      </c>
      <c r="D28" s="2" t="n">
        <v>0.7</v>
      </c>
      <c r="E28" s="2" t="n">
        <v>0.7</v>
      </c>
      <c r="F28" s="4">
        <f>INDEX(C28:E28,$D$2)</f>
        <v/>
      </c>
      <c r="G28" t="inlineStr">
        <is>
          <t>Varsayım</t>
        </is>
      </c>
    </row>
    <row r="29">
      <c r="A29" t="inlineStr">
        <is>
          <t>Kurumlar vergisi oranı</t>
        </is>
      </c>
      <c r="B29" t="inlineStr">
        <is>
          <t>kv</t>
        </is>
      </c>
      <c r="C29" s="2" t="n">
        <v>0.25</v>
      </c>
      <c r="D29" s="2" t="n">
        <v>0.25</v>
      </c>
      <c r="E29" s="2" t="n">
        <v>0.25</v>
      </c>
      <c r="F29" s="4">
        <f>INDEX(C29:E29,$D$2)</f>
        <v/>
      </c>
      <c r="G29" t="inlineStr">
        <is>
          <t>Varsayım (kanunda %25)</t>
        </is>
      </c>
    </row>
    <row r="30">
      <c r="A30" t="inlineStr">
        <is>
          <t>Sahte fatura payı (kurumsal akışta, φ)</t>
        </is>
      </c>
      <c r="B30" t="inlineStr">
        <is>
          <t>phi</t>
        </is>
      </c>
      <c r="C30" s="2" t="n">
        <v>0.02</v>
      </c>
      <c r="D30" s="2" t="n">
        <v>0.01</v>
      </c>
      <c r="E30" s="2" t="n">
        <v>0.005</v>
      </c>
      <c r="F30" s="4">
        <f>INDEX(C30:E30,$D$2)</f>
        <v/>
      </c>
      <c r="G30" t="inlineStr">
        <is>
          <t>Varsayım</t>
        </is>
      </c>
    </row>
    <row r="31">
      <c r="A31" t="inlineStr">
        <is>
          <t>Önlem etkinliği</t>
        </is>
      </c>
      <c r="B31" t="inlineStr">
        <is>
          <t>onlem</t>
        </is>
      </c>
      <c r="C31" s="2" t="n">
        <v>0.3</v>
      </c>
      <c r="D31" s="2" t="n">
        <v>0.5</v>
      </c>
      <c r="E31" s="2" t="n">
        <v>0.7</v>
      </c>
      <c r="F31" s="4">
        <f>INDEX(C31:E31,$D$2)</f>
        <v/>
      </c>
      <c r="G31" t="inlineStr">
        <is>
          <t>Varsayım</t>
        </is>
      </c>
    </row>
    <row r="32">
      <c r="A32" t="inlineStr">
        <is>
          <t>KGF kullanım oranı</t>
        </is>
      </c>
      <c r="B32" t="inlineStr">
        <is>
          <t>kgf_alim</t>
        </is>
      </c>
      <c r="C32" s="2" t="n">
        <v>0.08</v>
      </c>
      <c r="D32" s="2" t="n">
        <v>0.05</v>
      </c>
      <c r="E32" s="2" t="n">
        <v>0.03</v>
      </c>
      <c r="F32" s="4">
        <f>INDEX(C32:E32,$D$2)</f>
        <v/>
      </c>
      <c r="G32" t="inlineStr">
        <is>
          <t>Varsayım</t>
        </is>
      </c>
    </row>
    <row r="33">
      <c r="A33" t="inlineStr">
        <is>
          <t>KGF temerrüt oranı</t>
        </is>
      </c>
      <c r="B33" t="inlineStr">
        <is>
          <t>kgf_temerrut</t>
        </is>
      </c>
      <c r="C33" s="2" t="n">
        <v>0.15</v>
      </c>
      <c r="D33" s="2" t="n">
        <v>0.1</v>
      </c>
      <c r="E33" s="2" t="n">
        <v>0.06</v>
      </c>
      <c r="F33" s="4">
        <f>INDEX(C33:E33,$D$2)</f>
        <v/>
      </c>
      <c r="G33" t="inlineStr">
        <is>
          <t>Varsayım</t>
        </is>
      </c>
    </row>
    <row r="34">
      <c r="A34" t="inlineStr">
        <is>
          <t>KGF kurtarma oranı</t>
        </is>
      </c>
      <c r="B34" t="inlineStr">
        <is>
          <t>kgf_kurtarma</t>
        </is>
      </c>
      <c r="C34" s="2" t="n">
        <v>0.3</v>
      </c>
      <c r="D34" s="2" t="n">
        <v>0.3</v>
      </c>
      <c r="E34" s="2" t="n">
        <v>0.3</v>
      </c>
      <c r="F34" s="4">
        <f>INDEX(C34:E34,$D$2)</f>
        <v/>
      </c>
      <c r="G34" t="inlineStr">
        <is>
          <t>Varsayım</t>
        </is>
      </c>
    </row>
    <row r="35">
      <c r="A35" t="inlineStr">
        <is>
          <t>Kefalet tutarı (hasılatın payı)</t>
        </is>
      </c>
      <c r="B35" t="inlineStr">
        <is>
          <t>kgf_pay</t>
        </is>
      </c>
      <c r="C35" s="2" t="n">
        <v>0.5</v>
      </c>
      <c r="D35" s="2" t="n">
        <v>0.5</v>
      </c>
      <c r="E35" s="2" t="n">
        <v>0.5</v>
      </c>
      <c r="F35" s="4">
        <f>INDEX(C35:E35,$D$2)</f>
        <v/>
      </c>
      <c r="G35" t="inlineStr">
        <is>
          <t>Teklif Madde 8</t>
        </is>
      </c>
    </row>
    <row r="36">
      <c r="A36" t="inlineStr">
        <is>
          <t>PTT UETS birim gideri (TL)</t>
        </is>
      </c>
      <c r="B36" t="inlineStr">
        <is>
          <t>ptt_birim</t>
        </is>
      </c>
      <c r="C36" s="2" t="n">
        <v>50</v>
      </c>
      <c r="D36" s="2" t="n">
        <v>50</v>
      </c>
      <c r="E36" s="2" t="n">
        <v>50</v>
      </c>
      <c r="F36" s="4">
        <f>INDEX(C36:E36,$D$2)</f>
        <v/>
      </c>
      <c r="G36" t="inlineStr">
        <is>
          <t>Varsayım</t>
        </is>
      </c>
    </row>
    <row r="37">
      <c r="A37" t="inlineStr">
        <is>
          <t>UETS tahsis payı</t>
        </is>
      </c>
      <c r="B37" t="inlineStr">
        <is>
          <t>ptt_pay</t>
        </is>
      </c>
      <c r="C37" s="2" t="n">
        <v>0.8</v>
      </c>
      <c r="D37" s="2" t="n">
        <v>0.8</v>
      </c>
      <c r="E37" s="2" t="n">
        <v>0.8</v>
      </c>
      <c r="F37" s="4">
        <f>INDEX(C37:E37,$D$2)</f>
        <v/>
      </c>
      <c r="G37" t="inlineStr">
        <is>
          <t>Varsayım</t>
        </is>
      </c>
    </row>
    <row r="38">
      <c r="A38" t="inlineStr">
        <is>
          <t>Tek seferlik BT gideri (TL)</t>
        </is>
      </c>
      <c r="B38" t="inlineStr">
        <is>
          <t>bt_tek</t>
        </is>
      </c>
      <c r="C38" s="2" t="n">
        <v>250000000</v>
      </c>
      <c r="D38" s="2" t="n">
        <v>250000000</v>
      </c>
      <c r="E38" s="2" t="n">
        <v>250000000</v>
      </c>
      <c r="F38" s="4">
        <f>INDEX(C38:E38,$D$2)</f>
        <v/>
      </c>
      <c r="G38" t="inlineStr">
        <is>
          <t>Varsayım</t>
        </is>
      </c>
    </row>
    <row r="39">
      <c r="A39" t="inlineStr">
        <is>
          <t>Yıllık BT işletme gideri (TL)</t>
        </is>
      </c>
      <c r="B39" t="inlineStr">
        <is>
          <t>bt_yillik</t>
        </is>
      </c>
      <c r="C39" s="2" t="n">
        <v>50000000</v>
      </c>
      <c r="D39" s="2" t="n">
        <v>50000000</v>
      </c>
      <c r="E39" s="2" t="n">
        <v>50000000</v>
      </c>
      <c r="F39" s="4">
        <f>INDEX(C39:E39,$D$2)</f>
        <v/>
      </c>
      <c r="G39" t="inlineStr">
        <is>
          <t>Varsayım</t>
        </is>
      </c>
    </row>
    <row r="40">
      <c r="A40" t="inlineStr">
        <is>
          <t>İtiraz oranı</t>
        </is>
      </c>
      <c r="B40" t="inlineStr">
        <is>
          <t>itiraz_oran</t>
        </is>
      </c>
      <c r="C40" s="2" t="n">
        <v>0.04</v>
      </c>
      <c r="D40" s="2" t="n">
        <v>0.04</v>
      </c>
      <c r="E40" s="2" t="n">
        <v>0.04</v>
      </c>
      <c r="F40" s="4">
        <f>INDEX(C40:E40,$D$2)</f>
        <v/>
      </c>
      <c r="G40" t="inlineStr">
        <is>
          <t>Varsayım</t>
        </is>
      </c>
    </row>
    <row r="41">
      <c r="A41" t="inlineStr">
        <is>
          <t>İtiraz birim gideri (TL)</t>
        </is>
      </c>
      <c r="B41" t="inlineStr">
        <is>
          <t>itiraz_maliyet</t>
        </is>
      </c>
      <c r="C41" s="2" t="n">
        <v>2000</v>
      </c>
      <c r="D41" s="2" t="n">
        <v>2000</v>
      </c>
      <c r="E41" s="2" t="n">
        <v>2000</v>
      </c>
      <c r="F41" s="4">
        <f>INDEX(C41:E41,$D$2)</f>
        <v/>
      </c>
      <c r="G41" t="inlineStr">
        <is>
          <t>Varsayım</t>
        </is>
      </c>
    </row>
    <row r="42">
      <c r="A42" t="inlineStr">
        <is>
          <t>Denetim gideri (brüt tevkifatın oranı)</t>
        </is>
      </c>
      <c r="B42" t="inlineStr">
        <is>
          <t>denetim</t>
        </is>
      </c>
      <c r="C42" s="2" t="n">
        <v>0.01</v>
      </c>
      <c r="D42" s="2" t="n">
        <v>0.01</v>
      </c>
      <c r="E42" s="2" t="n">
        <v>0.01</v>
      </c>
      <c r="F42" s="4">
        <f>INDEX(C42:E42,$D$2)</f>
        <v/>
      </c>
      <c r="G42" t="inlineStr">
        <is>
          <t>Varsayım</t>
        </is>
      </c>
    </row>
    <row r="45">
      <c r="A45" s="4" t="inlineStr">
        <is>
          <t>GVK m.103 tarifesi (2026 parantez içi tutarlar)</t>
        </is>
      </c>
    </row>
    <row r="46">
      <c r="A46" s="4" t="inlineStr">
        <is>
          <t>Dilim üst sınırı (TL)</t>
        </is>
      </c>
      <c r="B46" s="4" t="inlineStr">
        <is>
          <t>Oran</t>
        </is>
      </c>
      <c r="C46" s="4" t="inlineStr">
        <is>
          <t>Artış (Δ)</t>
        </is>
      </c>
      <c r="D46" s="4" t="inlineStr">
        <is>
          <t>Alt sınır</t>
        </is>
      </c>
    </row>
    <row r="47">
      <c r="A47" t="n">
        <v>190000</v>
      </c>
      <c r="B47" t="n">
        <v>0.15</v>
      </c>
      <c r="C47">
        <f>B47</f>
        <v/>
      </c>
      <c r="D47" t="n">
        <v>0</v>
      </c>
    </row>
    <row r="48">
      <c r="A48" t="n">
        <v>400000</v>
      </c>
      <c r="B48" t="n">
        <v>0.2</v>
      </c>
      <c r="C48">
        <f>B48-B47</f>
        <v/>
      </c>
      <c r="D48">
        <f>A47</f>
        <v/>
      </c>
    </row>
    <row r="49">
      <c r="A49" t="n">
        <v>1000000</v>
      </c>
      <c r="B49" t="n">
        <v>0.27</v>
      </c>
      <c r="C49">
        <f>B49-B48</f>
        <v/>
      </c>
      <c r="D49">
        <f>A48</f>
        <v/>
      </c>
    </row>
    <row r="50">
      <c r="A50" t="n">
        <v>5300000</v>
      </c>
      <c r="B50" t="n">
        <v>0.35</v>
      </c>
      <c r="C50">
        <f>B50-B49</f>
        <v/>
      </c>
      <c r="D50">
        <f>A49</f>
        <v/>
      </c>
    </row>
    <row r="51">
      <c r="A51" t="n">
        <v>1000000000000</v>
      </c>
      <c r="B51" t="n">
        <v>0.4</v>
      </c>
      <c r="C51">
        <f>B51-B50</f>
        <v/>
      </c>
      <c r="D51">
        <f>A50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</t>
        </is>
      </c>
      <c r="B1" s="3" t="inlineStr">
        <is>
          <t>H alt</t>
        </is>
      </c>
      <c r="C1" s="3" t="inlineStr">
        <is>
          <t>H üst</t>
        </is>
      </c>
      <c r="D1" s="3" t="inlineStr">
        <is>
          <t>H orta</t>
        </is>
      </c>
      <c r="E1" s="3" t="inlineStr">
        <is>
          <t>ağırlık</t>
        </is>
      </c>
      <c r="F1" s="3" t="inlineStr">
        <is>
          <t>Safi matrah</t>
        </is>
      </c>
      <c r="G1" s="3" t="inlineStr">
        <is>
          <t>Tevkifat T</t>
        </is>
      </c>
      <c r="H1" s="3" t="inlineStr">
        <is>
          <t>Etkin oran</t>
        </is>
      </c>
      <c r="I1" s="3" t="inlineStr">
        <is>
          <t>BES+Devlet katkısı</t>
        </is>
      </c>
      <c r="J1" s="3" t="inlineStr">
        <is>
          <t>90 gün prim</t>
        </is>
      </c>
      <c r="K1" s="3" t="inlineStr">
        <is>
          <t>KDV mahsubu</t>
        </is>
      </c>
      <c r="L1" s="3" t="inlineStr">
        <is>
          <t>Eski vergi (kayıtlı)</t>
        </is>
      </c>
      <c r="M1" s="3" t="inlineStr">
        <is>
          <t>Eski prim</t>
        </is>
      </c>
      <c r="N1" s="3" t="inlineStr">
        <is>
          <t>Eski vergi (ücretli)</t>
        </is>
      </c>
    </row>
    <row r="2">
      <c r="A2" t="n">
        <v>0</v>
      </c>
      <c r="B2">
        <f>(0.1*Girdiler!$F$6)*((24*Girdiler!$F$6)/(0.1*Girdiler!$F$6))^(A2/60)</f>
        <v/>
      </c>
      <c r="C2">
        <f>(0.1*Girdiler!$F$6)*((24*Girdiler!$F$6)/(0.1*Girdiler!$F$6))^((A2+1)/60)</f>
        <v/>
      </c>
      <c r="D2">
        <f>SQRT(B2*C2)</f>
        <v/>
      </c>
      <c r="E2">
        <f>(NORMSDIST((LN(C2)-LN(Girdiler!$F$7*Girdiler!$F$6))/Girdiler!$F$8)-NORMSDIST((LN(B2)-LN(Girdiler!$F$7*Girdiler!$F$6))/Girdiler!$F$8))/(NORMSDIST((LN((24*Girdiler!$F$6))-LN(Girdiler!$F$7*Girdiler!$F$6))/Girdiler!$F$8)-NORMSDIST((LN((0.1*Girdiler!$F$6))-LN(Girdiler!$F$7*Girdiler!$F$6))/Girdiler!$F$8))</f>
        <v/>
      </c>
      <c r="F2">
        <f>(1-Girdiler!$F$13)*D2</f>
        <v/>
      </c>
      <c r="G2">
        <f>SUMPRODUCT((F2&gt;Girdiler!$D$47:$D$51)*(F2-Girdiler!$D$47:$D$51)*Girdiler!$C$47:$C$51)</f>
        <v/>
      </c>
      <c r="H2">
        <f>G2/D2</f>
        <v/>
      </c>
      <c r="I2">
        <f>Girdiler!$F$14*G2*(1-Girdiler!$F$16)*(1+Girdiler!$F$15)</f>
        <v/>
      </c>
      <c r="J2">
        <f>IF(D2&gt;=12*Girdiler!$F$6,Girdiler!$F$19*Girdiler!$F$18*Girdiler!$F$6*Girdiler!$F$17,0)</f>
        <v/>
      </c>
      <c r="K2">
        <f>Girdiler!$F$20*MIN(Girdiler!$F$22*G2,Girdiler!$F$21)</f>
        <v/>
      </c>
      <c r="L2">
        <f>SUMPRODUCT((Girdiler!$F$23*D2&gt;Girdiler!$D$47:$D$51)*(Girdiler!$F$23*D2-Girdiler!$D$47:$D$51)*Girdiler!$C$47:$C$51)</f>
        <v/>
      </c>
      <c r="M2">
        <f>Girdiler!$F$25*Girdiler!$F$24*(1-Girdiler!$F$11)</f>
        <v/>
      </c>
      <c r="N2">
        <f>Girdiler!$F$27*Girdiler!$F$26*Girdiler!$F$23*D2</f>
        <v/>
      </c>
    </row>
    <row r="3">
      <c r="A3" t="n">
        <v>1</v>
      </c>
      <c r="B3">
        <f>(0.1*Girdiler!$F$6)*((24*Girdiler!$F$6)/(0.1*Girdiler!$F$6))^(A3/60)</f>
        <v/>
      </c>
      <c r="C3">
        <f>(0.1*Girdiler!$F$6)*((24*Girdiler!$F$6)/(0.1*Girdiler!$F$6))^((A3+1)/60)</f>
        <v/>
      </c>
      <c r="D3">
        <f>SQRT(B3*C3)</f>
        <v/>
      </c>
      <c r="E3">
        <f>(NORMSDIST((LN(C3)-LN(Girdiler!$F$7*Girdiler!$F$6))/Girdiler!$F$8)-NORMSDIST((LN(B3)-LN(Girdiler!$F$7*Girdiler!$F$6))/Girdiler!$F$8))/(NORMSDIST((LN((24*Girdiler!$F$6))-LN(Girdiler!$F$7*Girdiler!$F$6))/Girdiler!$F$8)-NORMSDIST((LN((0.1*Girdiler!$F$6))-LN(Girdiler!$F$7*Girdiler!$F$6))/Girdiler!$F$8))</f>
        <v/>
      </c>
      <c r="F3">
        <f>(1-Girdiler!$F$13)*D3</f>
        <v/>
      </c>
      <c r="G3">
        <f>SUMPRODUCT((F3&gt;Girdiler!$D$47:$D$51)*(F3-Girdiler!$D$47:$D$51)*Girdiler!$C$47:$C$51)</f>
        <v/>
      </c>
      <c r="H3">
        <f>G3/D3</f>
        <v/>
      </c>
      <c r="I3">
        <f>Girdiler!$F$14*G3*(1-Girdiler!$F$16)*(1+Girdiler!$F$15)</f>
        <v/>
      </c>
      <c r="J3">
        <f>IF(D3&gt;=12*Girdiler!$F$6,Girdiler!$F$19*Girdiler!$F$18*Girdiler!$F$6*Girdiler!$F$17,0)</f>
        <v/>
      </c>
      <c r="K3">
        <f>Girdiler!$F$20*MIN(Girdiler!$F$22*G3,Girdiler!$F$21)</f>
        <v/>
      </c>
      <c r="L3">
        <f>SUMPRODUCT((Girdiler!$F$23*D3&gt;Girdiler!$D$47:$D$51)*(Girdiler!$F$23*D3-Girdiler!$D$47:$D$51)*Girdiler!$C$47:$C$51)</f>
        <v/>
      </c>
      <c r="M3">
        <f>Girdiler!$F$25*Girdiler!$F$24*(1-Girdiler!$F$11)</f>
        <v/>
      </c>
      <c r="N3">
        <f>Girdiler!$F$27*Girdiler!$F$26*Girdiler!$F$23*D3</f>
        <v/>
      </c>
    </row>
    <row r="4">
      <c r="A4" t="n">
        <v>2</v>
      </c>
      <c r="B4">
        <f>(0.1*Girdiler!$F$6)*((24*Girdiler!$F$6)/(0.1*Girdiler!$F$6))^(A4/60)</f>
        <v/>
      </c>
      <c r="C4">
        <f>(0.1*Girdiler!$F$6)*((24*Girdiler!$F$6)/(0.1*Girdiler!$F$6))^((A4+1)/60)</f>
        <v/>
      </c>
      <c r="D4">
        <f>SQRT(B4*C4)</f>
        <v/>
      </c>
      <c r="E4">
        <f>(NORMSDIST((LN(C4)-LN(Girdiler!$F$7*Girdiler!$F$6))/Girdiler!$F$8)-NORMSDIST((LN(B4)-LN(Girdiler!$F$7*Girdiler!$F$6))/Girdiler!$F$8))/(NORMSDIST((LN((24*Girdiler!$F$6))-LN(Girdiler!$F$7*Girdiler!$F$6))/Girdiler!$F$8)-NORMSDIST((LN((0.1*Girdiler!$F$6))-LN(Girdiler!$F$7*Girdiler!$F$6))/Girdiler!$F$8))</f>
        <v/>
      </c>
      <c r="F4">
        <f>(1-Girdiler!$F$13)*D4</f>
        <v/>
      </c>
      <c r="G4">
        <f>SUMPRODUCT((F4&gt;Girdiler!$D$47:$D$51)*(F4-Girdiler!$D$47:$D$51)*Girdiler!$C$47:$C$51)</f>
        <v/>
      </c>
      <c r="H4">
        <f>G4/D4</f>
        <v/>
      </c>
      <c r="I4">
        <f>Girdiler!$F$14*G4*(1-Girdiler!$F$16)*(1+Girdiler!$F$15)</f>
        <v/>
      </c>
      <c r="J4">
        <f>IF(D4&gt;=12*Girdiler!$F$6,Girdiler!$F$19*Girdiler!$F$18*Girdiler!$F$6*Girdiler!$F$17,0)</f>
        <v/>
      </c>
      <c r="K4">
        <f>Girdiler!$F$20*MIN(Girdiler!$F$22*G4,Girdiler!$F$21)</f>
        <v/>
      </c>
      <c r="L4">
        <f>SUMPRODUCT((Girdiler!$F$23*D4&gt;Girdiler!$D$47:$D$51)*(Girdiler!$F$23*D4-Girdiler!$D$47:$D$51)*Girdiler!$C$47:$C$51)</f>
        <v/>
      </c>
      <c r="M4">
        <f>Girdiler!$F$25*Girdiler!$F$24*(1-Girdiler!$F$11)</f>
        <v/>
      </c>
      <c r="N4">
        <f>Girdiler!$F$27*Girdiler!$F$26*Girdiler!$F$23*D4</f>
        <v/>
      </c>
    </row>
    <row r="5">
      <c r="A5" t="n">
        <v>3</v>
      </c>
      <c r="B5">
        <f>(0.1*Girdiler!$F$6)*((24*Girdiler!$F$6)/(0.1*Girdiler!$F$6))^(A5/60)</f>
        <v/>
      </c>
      <c r="C5">
        <f>(0.1*Girdiler!$F$6)*((24*Girdiler!$F$6)/(0.1*Girdiler!$F$6))^((A5+1)/60)</f>
        <v/>
      </c>
      <c r="D5">
        <f>SQRT(B5*C5)</f>
        <v/>
      </c>
      <c r="E5">
        <f>(NORMSDIST((LN(C5)-LN(Girdiler!$F$7*Girdiler!$F$6))/Girdiler!$F$8)-NORMSDIST((LN(B5)-LN(Girdiler!$F$7*Girdiler!$F$6))/Girdiler!$F$8))/(NORMSDIST((LN((24*Girdiler!$F$6))-LN(Girdiler!$F$7*Girdiler!$F$6))/Girdiler!$F$8)-NORMSDIST((LN((0.1*Girdiler!$F$6))-LN(Girdiler!$F$7*Girdiler!$F$6))/Girdiler!$F$8))</f>
        <v/>
      </c>
      <c r="F5">
        <f>(1-Girdiler!$F$13)*D5</f>
        <v/>
      </c>
      <c r="G5">
        <f>SUMPRODUCT((F5&gt;Girdiler!$D$47:$D$51)*(F5-Girdiler!$D$47:$D$51)*Girdiler!$C$47:$C$51)</f>
        <v/>
      </c>
      <c r="H5">
        <f>G5/D5</f>
        <v/>
      </c>
      <c r="I5">
        <f>Girdiler!$F$14*G5*(1-Girdiler!$F$16)*(1+Girdiler!$F$15)</f>
        <v/>
      </c>
      <c r="J5">
        <f>IF(D5&gt;=12*Girdiler!$F$6,Girdiler!$F$19*Girdiler!$F$18*Girdiler!$F$6*Girdiler!$F$17,0)</f>
        <v/>
      </c>
      <c r="K5">
        <f>Girdiler!$F$20*MIN(Girdiler!$F$22*G5,Girdiler!$F$21)</f>
        <v/>
      </c>
      <c r="L5">
        <f>SUMPRODUCT((Girdiler!$F$23*D5&gt;Girdiler!$D$47:$D$51)*(Girdiler!$F$23*D5-Girdiler!$D$47:$D$51)*Girdiler!$C$47:$C$51)</f>
        <v/>
      </c>
      <c r="M5">
        <f>Girdiler!$F$25*Girdiler!$F$24*(1-Girdiler!$F$11)</f>
        <v/>
      </c>
      <c r="N5">
        <f>Girdiler!$F$27*Girdiler!$F$26*Girdiler!$F$23*D5</f>
        <v/>
      </c>
    </row>
    <row r="6">
      <c r="A6" t="n">
        <v>4</v>
      </c>
      <c r="B6">
        <f>(0.1*Girdiler!$F$6)*((24*Girdiler!$F$6)/(0.1*Girdiler!$F$6))^(A6/60)</f>
        <v/>
      </c>
      <c r="C6">
        <f>(0.1*Girdiler!$F$6)*((24*Girdiler!$F$6)/(0.1*Girdiler!$F$6))^((A6+1)/60)</f>
        <v/>
      </c>
      <c r="D6">
        <f>SQRT(B6*C6)</f>
        <v/>
      </c>
      <c r="E6">
        <f>(NORMSDIST((LN(C6)-LN(Girdiler!$F$7*Girdiler!$F$6))/Girdiler!$F$8)-NORMSDIST((LN(B6)-LN(Girdiler!$F$7*Girdiler!$F$6))/Girdiler!$F$8))/(NORMSDIST((LN((24*Girdiler!$F$6))-LN(Girdiler!$F$7*Girdiler!$F$6))/Girdiler!$F$8)-NORMSDIST((LN((0.1*Girdiler!$F$6))-LN(Girdiler!$F$7*Girdiler!$F$6))/Girdiler!$F$8))</f>
        <v/>
      </c>
      <c r="F6">
        <f>(1-Girdiler!$F$13)*D6</f>
        <v/>
      </c>
      <c r="G6">
        <f>SUMPRODUCT((F6&gt;Girdiler!$D$47:$D$51)*(F6-Girdiler!$D$47:$D$51)*Girdiler!$C$47:$C$51)</f>
        <v/>
      </c>
      <c r="H6">
        <f>G6/D6</f>
        <v/>
      </c>
      <c r="I6">
        <f>Girdiler!$F$14*G6*(1-Girdiler!$F$16)*(1+Girdiler!$F$15)</f>
        <v/>
      </c>
      <c r="J6">
        <f>IF(D6&gt;=12*Girdiler!$F$6,Girdiler!$F$19*Girdiler!$F$18*Girdiler!$F$6*Girdiler!$F$17,0)</f>
        <v/>
      </c>
      <c r="K6">
        <f>Girdiler!$F$20*MIN(Girdiler!$F$22*G6,Girdiler!$F$21)</f>
        <v/>
      </c>
      <c r="L6">
        <f>SUMPRODUCT((Girdiler!$F$23*D6&gt;Girdiler!$D$47:$D$51)*(Girdiler!$F$23*D6-Girdiler!$D$47:$D$51)*Girdiler!$C$47:$C$51)</f>
        <v/>
      </c>
      <c r="M6">
        <f>Girdiler!$F$25*Girdiler!$F$24*(1-Girdiler!$F$11)</f>
        <v/>
      </c>
      <c r="N6">
        <f>Girdiler!$F$27*Girdiler!$F$26*Girdiler!$F$23*D6</f>
        <v/>
      </c>
    </row>
    <row r="7">
      <c r="A7" t="n">
        <v>5</v>
      </c>
      <c r="B7">
        <f>(0.1*Girdiler!$F$6)*((24*Girdiler!$F$6)/(0.1*Girdiler!$F$6))^(A7/60)</f>
        <v/>
      </c>
      <c r="C7">
        <f>(0.1*Girdiler!$F$6)*((24*Girdiler!$F$6)/(0.1*Girdiler!$F$6))^((A7+1)/60)</f>
        <v/>
      </c>
      <c r="D7">
        <f>SQRT(B7*C7)</f>
        <v/>
      </c>
      <c r="E7">
        <f>(NORMSDIST((LN(C7)-LN(Girdiler!$F$7*Girdiler!$F$6))/Girdiler!$F$8)-NORMSDIST((LN(B7)-LN(Girdiler!$F$7*Girdiler!$F$6))/Girdiler!$F$8))/(NORMSDIST((LN((24*Girdiler!$F$6))-LN(Girdiler!$F$7*Girdiler!$F$6))/Girdiler!$F$8)-NORMSDIST((LN((0.1*Girdiler!$F$6))-LN(Girdiler!$F$7*Girdiler!$F$6))/Girdiler!$F$8))</f>
        <v/>
      </c>
      <c r="F7">
        <f>(1-Girdiler!$F$13)*D7</f>
        <v/>
      </c>
      <c r="G7">
        <f>SUMPRODUCT((F7&gt;Girdiler!$D$47:$D$51)*(F7-Girdiler!$D$47:$D$51)*Girdiler!$C$47:$C$51)</f>
        <v/>
      </c>
      <c r="H7">
        <f>G7/D7</f>
        <v/>
      </c>
      <c r="I7">
        <f>Girdiler!$F$14*G7*(1-Girdiler!$F$16)*(1+Girdiler!$F$15)</f>
        <v/>
      </c>
      <c r="J7">
        <f>IF(D7&gt;=12*Girdiler!$F$6,Girdiler!$F$19*Girdiler!$F$18*Girdiler!$F$6*Girdiler!$F$17,0)</f>
        <v/>
      </c>
      <c r="K7">
        <f>Girdiler!$F$20*MIN(Girdiler!$F$22*G7,Girdiler!$F$21)</f>
        <v/>
      </c>
      <c r="L7">
        <f>SUMPRODUCT((Girdiler!$F$23*D7&gt;Girdiler!$D$47:$D$51)*(Girdiler!$F$23*D7-Girdiler!$D$47:$D$51)*Girdiler!$C$47:$C$51)</f>
        <v/>
      </c>
      <c r="M7">
        <f>Girdiler!$F$25*Girdiler!$F$24*(1-Girdiler!$F$11)</f>
        <v/>
      </c>
      <c r="N7">
        <f>Girdiler!$F$27*Girdiler!$F$26*Girdiler!$F$23*D7</f>
        <v/>
      </c>
    </row>
    <row r="8">
      <c r="A8" t="n">
        <v>6</v>
      </c>
      <c r="B8">
        <f>(0.1*Girdiler!$F$6)*((24*Girdiler!$F$6)/(0.1*Girdiler!$F$6))^(A8/60)</f>
        <v/>
      </c>
      <c r="C8">
        <f>(0.1*Girdiler!$F$6)*((24*Girdiler!$F$6)/(0.1*Girdiler!$F$6))^((A8+1)/60)</f>
        <v/>
      </c>
      <c r="D8">
        <f>SQRT(B8*C8)</f>
        <v/>
      </c>
      <c r="E8">
        <f>(NORMSDIST((LN(C8)-LN(Girdiler!$F$7*Girdiler!$F$6))/Girdiler!$F$8)-NORMSDIST((LN(B8)-LN(Girdiler!$F$7*Girdiler!$F$6))/Girdiler!$F$8))/(NORMSDIST((LN((24*Girdiler!$F$6))-LN(Girdiler!$F$7*Girdiler!$F$6))/Girdiler!$F$8)-NORMSDIST((LN((0.1*Girdiler!$F$6))-LN(Girdiler!$F$7*Girdiler!$F$6))/Girdiler!$F$8))</f>
        <v/>
      </c>
      <c r="F8">
        <f>(1-Girdiler!$F$13)*D8</f>
        <v/>
      </c>
      <c r="G8">
        <f>SUMPRODUCT((F8&gt;Girdiler!$D$47:$D$51)*(F8-Girdiler!$D$47:$D$51)*Girdiler!$C$47:$C$51)</f>
        <v/>
      </c>
      <c r="H8">
        <f>G8/D8</f>
        <v/>
      </c>
      <c r="I8">
        <f>Girdiler!$F$14*G8*(1-Girdiler!$F$16)*(1+Girdiler!$F$15)</f>
        <v/>
      </c>
      <c r="J8">
        <f>IF(D8&gt;=12*Girdiler!$F$6,Girdiler!$F$19*Girdiler!$F$18*Girdiler!$F$6*Girdiler!$F$17,0)</f>
        <v/>
      </c>
      <c r="K8">
        <f>Girdiler!$F$20*MIN(Girdiler!$F$22*G8,Girdiler!$F$21)</f>
        <v/>
      </c>
      <c r="L8">
        <f>SUMPRODUCT((Girdiler!$F$23*D8&gt;Girdiler!$D$47:$D$51)*(Girdiler!$F$23*D8-Girdiler!$D$47:$D$51)*Girdiler!$C$47:$C$51)</f>
        <v/>
      </c>
      <c r="M8">
        <f>Girdiler!$F$25*Girdiler!$F$24*(1-Girdiler!$F$11)</f>
        <v/>
      </c>
      <c r="N8">
        <f>Girdiler!$F$27*Girdiler!$F$26*Girdiler!$F$23*D8</f>
        <v/>
      </c>
    </row>
    <row r="9">
      <c r="A9" t="n">
        <v>7</v>
      </c>
      <c r="B9">
        <f>(0.1*Girdiler!$F$6)*((24*Girdiler!$F$6)/(0.1*Girdiler!$F$6))^(A9/60)</f>
        <v/>
      </c>
      <c r="C9">
        <f>(0.1*Girdiler!$F$6)*((24*Girdiler!$F$6)/(0.1*Girdiler!$F$6))^((A9+1)/60)</f>
        <v/>
      </c>
      <c r="D9">
        <f>SQRT(B9*C9)</f>
        <v/>
      </c>
      <c r="E9">
        <f>(NORMSDIST((LN(C9)-LN(Girdiler!$F$7*Girdiler!$F$6))/Girdiler!$F$8)-NORMSDIST((LN(B9)-LN(Girdiler!$F$7*Girdiler!$F$6))/Girdiler!$F$8))/(NORMSDIST((LN((24*Girdiler!$F$6))-LN(Girdiler!$F$7*Girdiler!$F$6))/Girdiler!$F$8)-NORMSDIST((LN((0.1*Girdiler!$F$6))-LN(Girdiler!$F$7*Girdiler!$F$6))/Girdiler!$F$8))</f>
        <v/>
      </c>
      <c r="F9">
        <f>(1-Girdiler!$F$13)*D9</f>
        <v/>
      </c>
      <c r="G9">
        <f>SUMPRODUCT((F9&gt;Girdiler!$D$47:$D$51)*(F9-Girdiler!$D$47:$D$51)*Girdiler!$C$47:$C$51)</f>
        <v/>
      </c>
      <c r="H9">
        <f>G9/D9</f>
        <v/>
      </c>
      <c r="I9">
        <f>Girdiler!$F$14*G9*(1-Girdiler!$F$16)*(1+Girdiler!$F$15)</f>
        <v/>
      </c>
      <c r="J9">
        <f>IF(D9&gt;=12*Girdiler!$F$6,Girdiler!$F$19*Girdiler!$F$18*Girdiler!$F$6*Girdiler!$F$17,0)</f>
        <v/>
      </c>
      <c r="K9">
        <f>Girdiler!$F$20*MIN(Girdiler!$F$22*G9,Girdiler!$F$21)</f>
        <v/>
      </c>
      <c r="L9">
        <f>SUMPRODUCT((Girdiler!$F$23*D9&gt;Girdiler!$D$47:$D$51)*(Girdiler!$F$23*D9-Girdiler!$D$47:$D$51)*Girdiler!$C$47:$C$51)</f>
        <v/>
      </c>
      <c r="M9">
        <f>Girdiler!$F$25*Girdiler!$F$24*(1-Girdiler!$F$11)</f>
        <v/>
      </c>
      <c r="N9">
        <f>Girdiler!$F$27*Girdiler!$F$26*Girdiler!$F$23*D9</f>
        <v/>
      </c>
    </row>
    <row r="10">
      <c r="A10" t="n">
        <v>8</v>
      </c>
      <c r="B10">
        <f>(0.1*Girdiler!$F$6)*((24*Girdiler!$F$6)/(0.1*Girdiler!$F$6))^(A10/60)</f>
        <v/>
      </c>
      <c r="C10">
        <f>(0.1*Girdiler!$F$6)*((24*Girdiler!$F$6)/(0.1*Girdiler!$F$6))^((A10+1)/60)</f>
        <v/>
      </c>
      <c r="D10">
        <f>SQRT(B10*C10)</f>
        <v/>
      </c>
      <c r="E10">
        <f>(NORMSDIST((LN(C10)-LN(Girdiler!$F$7*Girdiler!$F$6))/Girdiler!$F$8)-NORMSDIST((LN(B10)-LN(Girdiler!$F$7*Girdiler!$F$6))/Girdiler!$F$8))/(NORMSDIST((LN((24*Girdiler!$F$6))-LN(Girdiler!$F$7*Girdiler!$F$6))/Girdiler!$F$8)-NORMSDIST((LN((0.1*Girdiler!$F$6))-LN(Girdiler!$F$7*Girdiler!$F$6))/Girdiler!$F$8))</f>
        <v/>
      </c>
      <c r="F10">
        <f>(1-Girdiler!$F$13)*D10</f>
        <v/>
      </c>
      <c r="G10">
        <f>SUMPRODUCT((F10&gt;Girdiler!$D$47:$D$51)*(F10-Girdiler!$D$47:$D$51)*Girdiler!$C$47:$C$51)</f>
        <v/>
      </c>
      <c r="H10">
        <f>G10/D10</f>
        <v/>
      </c>
      <c r="I10">
        <f>Girdiler!$F$14*G10*(1-Girdiler!$F$16)*(1+Girdiler!$F$15)</f>
        <v/>
      </c>
      <c r="J10">
        <f>IF(D10&gt;=12*Girdiler!$F$6,Girdiler!$F$19*Girdiler!$F$18*Girdiler!$F$6*Girdiler!$F$17,0)</f>
        <v/>
      </c>
      <c r="K10">
        <f>Girdiler!$F$20*MIN(Girdiler!$F$22*G10,Girdiler!$F$21)</f>
        <v/>
      </c>
      <c r="L10">
        <f>SUMPRODUCT((Girdiler!$F$23*D10&gt;Girdiler!$D$47:$D$51)*(Girdiler!$F$23*D10-Girdiler!$D$47:$D$51)*Girdiler!$C$47:$C$51)</f>
        <v/>
      </c>
      <c r="M10">
        <f>Girdiler!$F$25*Girdiler!$F$24*(1-Girdiler!$F$11)</f>
        <v/>
      </c>
      <c r="N10">
        <f>Girdiler!$F$27*Girdiler!$F$26*Girdiler!$F$23*D10</f>
        <v/>
      </c>
    </row>
    <row r="11">
      <c r="A11" t="n">
        <v>9</v>
      </c>
      <c r="B11">
        <f>(0.1*Girdiler!$F$6)*((24*Girdiler!$F$6)/(0.1*Girdiler!$F$6))^(A11/60)</f>
        <v/>
      </c>
      <c r="C11">
        <f>(0.1*Girdiler!$F$6)*((24*Girdiler!$F$6)/(0.1*Girdiler!$F$6))^((A11+1)/60)</f>
        <v/>
      </c>
      <c r="D11">
        <f>SQRT(B11*C11)</f>
        <v/>
      </c>
      <c r="E11">
        <f>(NORMSDIST((LN(C11)-LN(Girdiler!$F$7*Girdiler!$F$6))/Girdiler!$F$8)-NORMSDIST((LN(B11)-LN(Girdiler!$F$7*Girdiler!$F$6))/Girdiler!$F$8))/(NORMSDIST((LN((24*Girdiler!$F$6))-LN(Girdiler!$F$7*Girdiler!$F$6))/Girdiler!$F$8)-NORMSDIST((LN((0.1*Girdiler!$F$6))-LN(Girdiler!$F$7*Girdiler!$F$6))/Girdiler!$F$8))</f>
        <v/>
      </c>
      <c r="F11">
        <f>(1-Girdiler!$F$13)*D11</f>
        <v/>
      </c>
      <c r="G11">
        <f>SUMPRODUCT((F11&gt;Girdiler!$D$47:$D$51)*(F11-Girdiler!$D$47:$D$51)*Girdiler!$C$47:$C$51)</f>
        <v/>
      </c>
      <c r="H11">
        <f>G11/D11</f>
        <v/>
      </c>
      <c r="I11">
        <f>Girdiler!$F$14*G11*(1-Girdiler!$F$16)*(1+Girdiler!$F$15)</f>
        <v/>
      </c>
      <c r="J11">
        <f>IF(D11&gt;=12*Girdiler!$F$6,Girdiler!$F$19*Girdiler!$F$18*Girdiler!$F$6*Girdiler!$F$17,0)</f>
        <v/>
      </c>
      <c r="K11">
        <f>Girdiler!$F$20*MIN(Girdiler!$F$22*G11,Girdiler!$F$21)</f>
        <v/>
      </c>
      <c r="L11">
        <f>SUMPRODUCT((Girdiler!$F$23*D11&gt;Girdiler!$D$47:$D$51)*(Girdiler!$F$23*D11-Girdiler!$D$47:$D$51)*Girdiler!$C$47:$C$51)</f>
        <v/>
      </c>
      <c r="M11">
        <f>Girdiler!$F$25*Girdiler!$F$24*(1-Girdiler!$F$11)</f>
        <v/>
      </c>
      <c r="N11">
        <f>Girdiler!$F$27*Girdiler!$F$26*Girdiler!$F$23*D11</f>
        <v/>
      </c>
    </row>
    <row r="12">
      <c r="A12" t="n">
        <v>10</v>
      </c>
      <c r="B12">
        <f>(0.1*Girdiler!$F$6)*((24*Girdiler!$F$6)/(0.1*Girdiler!$F$6))^(A12/60)</f>
        <v/>
      </c>
      <c r="C12">
        <f>(0.1*Girdiler!$F$6)*((24*Girdiler!$F$6)/(0.1*Girdiler!$F$6))^((A12+1)/60)</f>
        <v/>
      </c>
      <c r="D12">
        <f>SQRT(B12*C12)</f>
        <v/>
      </c>
      <c r="E12">
        <f>(NORMSDIST((LN(C12)-LN(Girdiler!$F$7*Girdiler!$F$6))/Girdiler!$F$8)-NORMSDIST((LN(B12)-LN(Girdiler!$F$7*Girdiler!$F$6))/Girdiler!$F$8))/(NORMSDIST((LN((24*Girdiler!$F$6))-LN(Girdiler!$F$7*Girdiler!$F$6))/Girdiler!$F$8)-NORMSDIST((LN((0.1*Girdiler!$F$6))-LN(Girdiler!$F$7*Girdiler!$F$6))/Girdiler!$F$8))</f>
        <v/>
      </c>
      <c r="F12">
        <f>(1-Girdiler!$F$13)*D12</f>
        <v/>
      </c>
      <c r="G12">
        <f>SUMPRODUCT((F12&gt;Girdiler!$D$47:$D$51)*(F12-Girdiler!$D$47:$D$51)*Girdiler!$C$47:$C$51)</f>
        <v/>
      </c>
      <c r="H12">
        <f>G12/D12</f>
        <v/>
      </c>
      <c r="I12">
        <f>Girdiler!$F$14*G12*(1-Girdiler!$F$16)*(1+Girdiler!$F$15)</f>
        <v/>
      </c>
      <c r="J12">
        <f>IF(D12&gt;=12*Girdiler!$F$6,Girdiler!$F$19*Girdiler!$F$18*Girdiler!$F$6*Girdiler!$F$17,0)</f>
        <v/>
      </c>
      <c r="K12">
        <f>Girdiler!$F$20*MIN(Girdiler!$F$22*G12,Girdiler!$F$21)</f>
        <v/>
      </c>
      <c r="L12">
        <f>SUMPRODUCT((Girdiler!$F$23*D12&gt;Girdiler!$D$47:$D$51)*(Girdiler!$F$23*D12-Girdiler!$D$47:$D$51)*Girdiler!$C$47:$C$51)</f>
        <v/>
      </c>
      <c r="M12">
        <f>Girdiler!$F$25*Girdiler!$F$24*(1-Girdiler!$F$11)</f>
        <v/>
      </c>
      <c r="N12">
        <f>Girdiler!$F$27*Girdiler!$F$26*Girdiler!$F$23*D12</f>
        <v/>
      </c>
    </row>
    <row r="13">
      <c r="A13" t="n">
        <v>11</v>
      </c>
      <c r="B13">
        <f>(0.1*Girdiler!$F$6)*((24*Girdiler!$F$6)/(0.1*Girdiler!$F$6))^(A13/60)</f>
        <v/>
      </c>
      <c r="C13">
        <f>(0.1*Girdiler!$F$6)*((24*Girdiler!$F$6)/(0.1*Girdiler!$F$6))^((A13+1)/60)</f>
        <v/>
      </c>
      <c r="D13">
        <f>SQRT(B13*C13)</f>
        <v/>
      </c>
      <c r="E13">
        <f>(NORMSDIST((LN(C13)-LN(Girdiler!$F$7*Girdiler!$F$6))/Girdiler!$F$8)-NORMSDIST((LN(B13)-LN(Girdiler!$F$7*Girdiler!$F$6))/Girdiler!$F$8))/(NORMSDIST((LN((24*Girdiler!$F$6))-LN(Girdiler!$F$7*Girdiler!$F$6))/Girdiler!$F$8)-NORMSDIST((LN((0.1*Girdiler!$F$6))-LN(Girdiler!$F$7*Girdiler!$F$6))/Girdiler!$F$8))</f>
        <v/>
      </c>
      <c r="F13">
        <f>(1-Girdiler!$F$13)*D13</f>
        <v/>
      </c>
      <c r="G13">
        <f>SUMPRODUCT((F13&gt;Girdiler!$D$47:$D$51)*(F13-Girdiler!$D$47:$D$51)*Girdiler!$C$47:$C$51)</f>
        <v/>
      </c>
      <c r="H13">
        <f>G13/D13</f>
        <v/>
      </c>
      <c r="I13">
        <f>Girdiler!$F$14*G13*(1-Girdiler!$F$16)*(1+Girdiler!$F$15)</f>
        <v/>
      </c>
      <c r="J13">
        <f>IF(D13&gt;=12*Girdiler!$F$6,Girdiler!$F$19*Girdiler!$F$18*Girdiler!$F$6*Girdiler!$F$17,0)</f>
        <v/>
      </c>
      <c r="K13">
        <f>Girdiler!$F$20*MIN(Girdiler!$F$22*G13,Girdiler!$F$21)</f>
        <v/>
      </c>
      <c r="L13">
        <f>SUMPRODUCT((Girdiler!$F$23*D13&gt;Girdiler!$D$47:$D$51)*(Girdiler!$F$23*D13-Girdiler!$D$47:$D$51)*Girdiler!$C$47:$C$51)</f>
        <v/>
      </c>
      <c r="M13">
        <f>Girdiler!$F$25*Girdiler!$F$24*(1-Girdiler!$F$11)</f>
        <v/>
      </c>
      <c r="N13">
        <f>Girdiler!$F$27*Girdiler!$F$26*Girdiler!$F$23*D13</f>
        <v/>
      </c>
    </row>
    <row r="14">
      <c r="A14" t="n">
        <v>12</v>
      </c>
      <c r="B14">
        <f>(0.1*Girdiler!$F$6)*((24*Girdiler!$F$6)/(0.1*Girdiler!$F$6))^(A14/60)</f>
        <v/>
      </c>
      <c r="C14">
        <f>(0.1*Girdiler!$F$6)*((24*Girdiler!$F$6)/(0.1*Girdiler!$F$6))^((A14+1)/60)</f>
        <v/>
      </c>
      <c r="D14">
        <f>SQRT(B14*C14)</f>
        <v/>
      </c>
      <c r="E14">
        <f>(NORMSDIST((LN(C14)-LN(Girdiler!$F$7*Girdiler!$F$6))/Girdiler!$F$8)-NORMSDIST((LN(B14)-LN(Girdiler!$F$7*Girdiler!$F$6))/Girdiler!$F$8))/(NORMSDIST((LN((24*Girdiler!$F$6))-LN(Girdiler!$F$7*Girdiler!$F$6))/Girdiler!$F$8)-NORMSDIST((LN((0.1*Girdiler!$F$6))-LN(Girdiler!$F$7*Girdiler!$F$6))/Girdiler!$F$8))</f>
        <v/>
      </c>
      <c r="F14">
        <f>(1-Girdiler!$F$13)*D14</f>
        <v/>
      </c>
      <c r="G14">
        <f>SUMPRODUCT((F14&gt;Girdiler!$D$47:$D$51)*(F14-Girdiler!$D$47:$D$51)*Girdiler!$C$47:$C$51)</f>
        <v/>
      </c>
      <c r="H14">
        <f>G14/D14</f>
        <v/>
      </c>
      <c r="I14">
        <f>Girdiler!$F$14*G14*(1-Girdiler!$F$16)*(1+Girdiler!$F$15)</f>
        <v/>
      </c>
      <c r="J14">
        <f>IF(D14&gt;=12*Girdiler!$F$6,Girdiler!$F$19*Girdiler!$F$18*Girdiler!$F$6*Girdiler!$F$17,0)</f>
        <v/>
      </c>
      <c r="K14">
        <f>Girdiler!$F$20*MIN(Girdiler!$F$22*G14,Girdiler!$F$21)</f>
        <v/>
      </c>
      <c r="L14">
        <f>SUMPRODUCT((Girdiler!$F$23*D14&gt;Girdiler!$D$47:$D$51)*(Girdiler!$F$23*D14-Girdiler!$D$47:$D$51)*Girdiler!$C$47:$C$51)</f>
        <v/>
      </c>
      <c r="M14">
        <f>Girdiler!$F$25*Girdiler!$F$24*(1-Girdiler!$F$11)</f>
        <v/>
      </c>
      <c r="N14">
        <f>Girdiler!$F$27*Girdiler!$F$26*Girdiler!$F$23*D14</f>
        <v/>
      </c>
    </row>
    <row r="15">
      <c r="A15" t="n">
        <v>13</v>
      </c>
      <c r="B15">
        <f>(0.1*Girdiler!$F$6)*((24*Girdiler!$F$6)/(0.1*Girdiler!$F$6))^(A15/60)</f>
        <v/>
      </c>
      <c r="C15">
        <f>(0.1*Girdiler!$F$6)*((24*Girdiler!$F$6)/(0.1*Girdiler!$F$6))^((A15+1)/60)</f>
        <v/>
      </c>
      <c r="D15">
        <f>SQRT(B15*C15)</f>
        <v/>
      </c>
      <c r="E15">
        <f>(NORMSDIST((LN(C15)-LN(Girdiler!$F$7*Girdiler!$F$6))/Girdiler!$F$8)-NORMSDIST((LN(B15)-LN(Girdiler!$F$7*Girdiler!$F$6))/Girdiler!$F$8))/(NORMSDIST((LN((24*Girdiler!$F$6))-LN(Girdiler!$F$7*Girdiler!$F$6))/Girdiler!$F$8)-NORMSDIST((LN((0.1*Girdiler!$F$6))-LN(Girdiler!$F$7*Girdiler!$F$6))/Girdiler!$F$8))</f>
        <v/>
      </c>
      <c r="F15">
        <f>(1-Girdiler!$F$13)*D15</f>
        <v/>
      </c>
      <c r="G15">
        <f>SUMPRODUCT((F15&gt;Girdiler!$D$47:$D$51)*(F15-Girdiler!$D$47:$D$51)*Girdiler!$C$47:$C$51)</f>
        <v/>
      </c>
      <c r="H15">
        <f>G15/D15</f>
        <v/>
      </c>
      <c r="I15">
        <f>Girdiler!$F$14*G15*(1-Girdiler!$F$16)*(1+Girdiler!$F$15)</f>
        <v/>
      </c>
      <c r="J15">
        <f>IF(D15&gt;=12*Girdiler!$F$6,Girdiler!$F$19*Girdiler!$F$18*Girdiler!$F$6*Girdiler!$F$17,0)</f>
        <v/>
      </c>
      <c r="K15">
        <f>Girdiler!$F$20*MIN(Girdiler!$F$22*G15,Girdiler!$F$21)</f>
        <v/>
      </c>
      <c r="L15">
        <f>SUMPRODUCT((Girdiler!$F$23*D15&gt;Girdiler!$D$47:$D$51)*(Girdiler!$F$23*D15-Girdiler!$D$47:$D$51)*Girdiler!$C$47:$C$51)</f>
        <v/>
      </c>
      <c r="M15">
        <f>Girdiler!$F$25*Girdiler!$F$24*(1-Girdiler!$F$11)</f>
        <v/>
      </c>
      <c r="N15">
        <f>Girdiler!$F$27*Girdiler!$F$26*Girdiler!$F$23*D15</f>
        <v/>
      </c>
    </row>
    <row r="16">
      <c r="A16" t="n">
        <v>14</v>
      </c>
      <c r="B16">
        <f>(0.1*Girdiler!$F$6)*((24*Girdiler!$F$6)/(0.1*Girdiler!$F$6))^(A16/60)</f>
        <v/>
      </c>
      <c r="C16">
        <f>(0.1*Girdiler!$F$6)*((24*Girdiler!$F$6)/(0.1*Girdiler!$F$6))^((A16+1)/60)</f>
        <v/>
      </c>
      <c r="D16">
        <f>SQRT(B16*C16)</f>
        <v/>
      </c>
      <c r="E16">
        <f>(NORMSDIST((LN(C16)-LN(Girdiler!$F$7*Girdiler!$F$6))/Girdiler!$F$8)-NORMSDIST((LN(B16)-LN(Girdiler!$F$7*Girdiler!$F$6))/Girdiler!$F$8))/(NORMSDIST((LN((24*Girdiler!$F$6))-LN(Girdiler!$F$7*Girdiler!$F$6))/Girdiler!$F$8)-NORMSDIST((LN((0.1*Girdiler!$F$6))-LN(Girdiler!$F$7*Girdiler!$F$6))/Girdiler!$F$8))</f>
        <v/>
      </c>
      <c r="F16">
        <f>(1-Girdiler!$F$13)*D16</f>
        <v/>
      </c>
      <c r="G16">
        <f>SUMPRODUCT((F16&gt;Girdiler!$D$47:$D$51)*(F16-Girdiler!$D$47:$D$51)*Girdiler!$C$47:$C$51)</f>
        <v/>
      </c>
      <c r="H16">
        <f>G16/D16</f>
        <v/>
      </c>
      <c r="I16">
        <f>Girdiler!$F$14*G16*(1-Girdiler!$F$16)*(1+Girdiler!$F$15)</f>
        <v/>
      </c>
      <c r="J16">
        <f>IF(D16&gt;=12*Girdiler!$F$6,Girdiler!$F$19*Girdiler!$F$18*Girdiler!$F$6*Girdiler!$F$17,0)</f>
        <v/>
      </c>
      <c r="K16">
        <f>Girdiler!$F$20*MIN(Girdiler!$F$22*G16,Girdiler!$F$21)</f>
        <v/>
      </c>
      <c r="L16">
        <f>SUMPRODUCT((Girdiler!$F$23*D16&gt;Girdiler!$D$47:$D$51)*(Girdiler!$F$23*D16-Girdiler!$D$47:$D$51)*Girdiler!$C$47:$C$51)</f>
        <v/>
      </c>
      <c r="M16">
        <f>Girdiler!$F$25*Girdiler!$F$24*(1-Girdiler!$F$11)</f>
        <v/>
      </c>
      <c r="N16">
        <f>Girdiler!$F$27*Girdiler!$F$26*Girdiler!$F$23*D16</f>
        <v/>
      </c>
    </row>
    <row r="17">
      <c r="A17" t="n">
        <v>15</v>
      </c>
      <c r="B17">
        <f>(0.1*Girdiler!$F$6)*((24*Girdiler!$F$6)/(0.1*Girdiler!$F$6))^(A17/60)</f>
        <v/>
      </c>
      <c r="C17">
        <f>(0.1*Girdiler!$F$6)*((24*Girdiler!$F$6)/(0.1*Girdiler!$F$6))^((A17+1)/60)</f>
        <v/>
      </c>
      <c r="D17">
        <f>SQRT(B17*C17)</f>
        <v/>
      </c>
      <c r="E17">
        <f>(NORMSDIST((LN(C17)-LN(Girdiler!$F$7*Girdiler!$F$6))/Girdiler!$F$8)-NORMSDIST((LN(B17)-LN(Girdiler!$F$7*Girdiler!$F$6))/Girdiler!$F$8))/(NORMSDIST((LN((24*Girdiler!$F$6))-LN(Girdiler!$F$7*Girdiler!$F$6))/Girdiler!$F$8)-NORMSDIST((LN((0.1*Girdiler!$F$6))-LN(Girdiler!$F$7*Girdiler!$F$6))/Girdiler!$F$8))</f>
        <v/>
      </c>
      <c r="F17">
        <f>(1-Girdiler!$F$13)*D17</f>
        <v/>
      </c>
      <c r="G17">
        <f>SUMPRODUCT((F17&gt;Girdiler!$D$47:$D$51)*(F17-Girdiler!$D$47:$D$51)*Girdiler!$C$47:$C$51)</f>
        <v/>
      </c>
      <c r="H17">
        <f>G17/D17</f>
        <v/>
      </c>
      <c r="I17">
        <f>Girdiler!$F$14*G17*(1-Girdiler!$F$16)*(1+Girdiler!$F$15)</f>
        <v/>
      </c>
      <c r="J17">
        <f>IF(D17&gt;=12*Girdiler!$F$6,Girdiler!$F$19*Girdiler!$F$18*Girdiler!$F$6*Girdiler!$F$17,0)</f>
        <v/>
      </c>
      <c r="K17">
        <f>Girdiler!$F$20*MIN(Girdiler!$F$22*G17,Girdiler!$F$21)</f>
        <v/>
      </c>
      <c r="L17">
        <f>SUMPRODUCT((Girdiler!$F$23*D17&gt;Girdiler!$D$47:$D$51)*(Girdiler!$F$23*D17-Girdiler!$D$47:$D$51)*Girdiler!$C$47:$C$51)</f>
        <v/>
      </c>
      <c r="M17">
        <f>Girdiler!$F$25*Girdiler!$F$24*(1-Girdiler!$F$11)</f>
        <v/>
      </c>
      <c r="N17">
        <f>Girdiler!$F$27*Girdiler!$F$26*Girdiler!$F$23*D17</f>
        <v/>
      </c>
    </row>
    <row r="18">
      <c r="A18" t="n">
        <v>16</v>
      </c>
      <c r="B18">
        <f>(0.1*Girdiler!$F$6)*((24*Girdiler!$F$6)/(0.1*Girdiler!$F$6))^(A18/60)</f>
        <v/>
      </c>
      <c r="C18">
        <f>(0.1*Girdiler!$F$6)*((24*Girdiler!$F$6)/(0.1*Girdiler!$F$6))^((A18+1)/60)</f>
        <v/>
      </c>
      <c r="D18">
        <f>SQRT(B18*C18)</f>
        <v/>
      </c>
      <c r="E18">
        <f>(NORMSDIST((LN(C18)-LN(Girdiler!$F$7*Girdiler!$F$6))/Girdiler!$F$8)-NORMSDIST((LN(B18)-LN(Girdiler!$F$7*Girdiler!$F$6))/Girdiler!$F$8))/(NORMSDIST((LN((24*Girdiler!$F$6))-LN(Girdiler!$F$7*Girdiler!$F$6))/Girdiler!$F$8)-NORMSDIST((LN((0.1*Girdiler!$F$6))-LN(Girdiler!$F$7*Girdiler!$F$6))/Girdiler!$F$8))</f>
        <v/>
      </c>
      <c r="F18">
        <f>(1-Girdiler!$F$13)*D18</f>
        <v/>
      </c>
      <c r="G18">
        <f>SUMPRODUCT((F18&gt;Girdiler!$D$47:$D$51)*(F18-Girdiler!$D$47:$D$51)*Girdiler!$C$47:$C$51)</f>
        <v/>
      </c>
      <c r="H18">
        <f>G18/D18</f>
        <v/>
      </c>
      <c r="I18">
        <f>Girdiler!$F$14*G18*(1-Girdiler!$F$16)*(1+Girdiler!$F$15)</f>
        <v/>
      </c>
      <c r="J18">
        <f>IF(D18&gt;=12*Girdiler!$F$6,Girdiler!$F$19*Girdiler!$F$18*Girdiler!$F$6*Girdiler!$F$17,0)</f>
        <v/>
      </c>
      <c r="K18">
        <f>Girdiler!$F$20*MIN(Girdiler!$F$22*G18,Girdiler!$F$21)</f>
        <v/>
      </c>
      <c r="L18">
        <f>SUMPRODUCT((Girdiler!$F$23*D18&gt;Girdiler!$D$47:$D$51)*(Girdiler!$F$23*D18-Girdiler!$D$47:$D$51)*Girdiler!$C$47:$C$51)</f>
        <v/>
      </c>
      <c r="M18">
        <f>Girdiler!$F$25*Girdiler!$F$24*(1-Girdiler!$F$11)</f>
        <v/>
      </c>
      <c r="N18">
        <f>Girdiler!$F$27*Girdiler!$F$26*Girdiler!$F$23*D18</f>
        <v/>
      </c>
    </row>
    <row r="19">
      <c r="A19" t="n">
        <v>17</v>
      </c>
      <c r="B19">
        <f>(0.1*Girdiler!$F$6)*((24*Girdiler!$F$6)/(0.1*Girdiler!$F$6))^(A19/60)</f>
        <v/>
      </c>
      <c r="C19">
        <f>(0.1*Girdiler!$F$6)*((24*Girdiler!$F$6)/(0.1*Girdiler!$F$6))^((A19+1)/60)</f>
        <v/>
      </c>
      <c r="D19">
        <f>SQRT(B19*C19)</f>
        <v/>
      </c>
      <c r="E19">
        <f>(NORMSDIST((LN(C19)-LN(Girdiler!$F$7*Girdiler!$F$6))/Girdiler!$F$8)-NORMSDIST((LN(B19)-LN(Girdiler!$F$7*Girdiler!$F$6))/Girdiler!$F$8))/(NORMSDIST((LN((24*Girdiler!$F$6))-LN(Girdiler!$F$7*Girdiler!$F$6))/Girdiler!$F$8)-NORMSDIST((LN((0.1*Girdiler!$F$6))-LN(Girdiler!$F$7*Girdiler!$F$6))/Girdiler!$F$8))</f>
        <v/>
      </c>
      <c r="F19">
        <f>(1-Girdiler!$F$13)*D19</f>
        <v/>
      </c>
      <c r="G19">
        <f>SUMPRODUCT((F19&gt;Girdiler!$D$47:$D$51)*(F19-Girdiler!$D$47:$D$51)*Girdiler!$C$47:$C$51)</f>
        <v/>
      </c>
      <c r="H19">
        <f>G19/D19</f>
        <v/>
      </c>
      <c r="I19">
        <f>Girdiler!$F$14*G19*(1-Girdiler!$F$16)*(1+Girdiler!$F$15)</f>
        <v/>
      </c>
      <c r="J19">
        <f>IF(D19&gt;=12*Girdiler!$F$6,Girdiler!$F$19*Girdiler!$F$18*Girdiler!$F$6*Girdiler!$F$17,0)</f>
        <v/>
      </c>
      <c r="K19">
        <f>Girdiler!$F$20*MIN(Girdiler!$F$22*G19,Girdiler!$F$21)</f>
        <v/>
      </c>
      <c r="L19">
        <f>SUMPRODUCT((Girdiler!$F$23*D19&gt;Girdiler!$D$47:$D$51)*(Girdiler!$F$23*D19-Girdiler!$D$47:$D$51)*Girdiler!$C$47:$C$51)</f>
        <v/>
      </c>
      <c r="M19">
        <f>Girdiler!$F$25*Girdiler!$F$24*(1-Girdiler!$F$11)</f>
        <v/>
      </c>
      <c r="N19">
        <f>Girdiler!$F$27*Girdiler!$F$26*Girdiler!$F$23*D19</f>
        <v/>
      </c>
    </row>
    <row r="20">
      <c r="A20" t="n">
        <v>18</v>
      </c>
      <c r="B20">
        <f>(0.1*Girdiler!$F$6)*((24*Girdiler!$F$6)/(0.1*Girdiler!$F$6))^(A20/60)</f>
        <v/>
      </c>
      <c r="C20">
        <f>(0.1*Girdiler!$F$6)*((24*Girdiler!$F$6)/(0.1*Girdiler!$F$6))^((A20+1)/60)</f>
        <v/>
      </c>
      <c r="D20">
        <f>SQRT(B20*C20)</f>
        <v/>
      </c>
      <c r="E20">
        <f>(NORMSDIST((LN(C20)-LN(Girdiler!$F$7*Girdiler!$F$6))/Girdiler!$F$8)-NORMSDIST((LN(B20)-LN(Girdiler!$F$7*Girdiler!$F$6))/Girdiler!$F$8))/(NORMSDIST((LN((24*Girdiler!$F$6))-LN(Girdiler!$F$7*Girdiler!$F$6))/Girdiler!$F$8)-NORMSDIST((LN((0.1*Girdiler!$F$6))-LN(Girdiler!$F$7*Girdiler!$F$6))/Girdiler!$F$8))</f>
        <v/>
      </c>
      <c r="F20">
        <f>(1-Girdiler!$F$13)*D20</f>
        <v/>
      </c>
      <c r="G20">
        <f>SUMPRODUCT((F20&gt;Girdiler!$D$47:$D$51)*(F20-Girdiler!$D$47:$D$51)*Girdiler!$C$47:$C$51)</f>
        <v/>
      </c>
      <c r="H20">
        <f>G20/D20</f>
        <v/>
      </c>
      <c r="I20">
        <f>Girdiler!$F$14*G20*(1-Girdiler!$F$16)*(1+Girdiler!$F$15)</f>
        <v/>
      </c>
      <c r="J20">
        <f>IF(D20&gt;=12*Girdiler!$F$6,Girdiler!$F$19*Girdiler!$F$18*Girdiler!$F$6*Girdiler!$F$17,0)</f>
        <v/>
      </c>
      <c r="K20">
        <f>Girdiler!$F$20*MIN(Girdiler!$F$22*G20,Girdiler!$F$21)</f>
        <v/>
      </c>
      <c r="L20">
        <f>SUMPRODUCT((Girdiler!$F$23*D20&gt;Girdiler!$D$47:$D$51)*(Girdiler!$F$23*D20-Girdiler!$D$47:$D$51)*Girdiler!$C$47:$C$51)</f>
        <v/>
      </c>
      <c r="M20">
        <f>Girdiler!$F$25*Girdiler!$F$24*(1-Girdiler!$F$11)</f>
        <v/>
      </c>
      <c r="N20">
        <f>Girdiler!$F$27*Girdiler!$F$26*Girdiler!$F$23*D20</f>
        <v/>
      </c>
    </row>
    <row r="21">
      <c r="A21" t="n">
        <v>19</v>
      </c>
      <c r="B21">
        <f>(0.1*Girdiler!$F$6)*((24*Girdiler!$F$6)/(0.1*Girdiler!$F$6))^(A21/60)</f>
        <v/>
      </c>
      <c r="C21">
        <f>(0.1*Girdiler!$F$6)*((24*Girdiler!$F$6)/(0.1*Girdiler!$F$6))^((A21+1)/60)</f>
        <v/>
      </c>
      <c r="D21">
        <f>SQRT(B21*C21)</f>
        <v/>
      </c>
      <c r="E21">
        <f>(NORMSDIST((LN(C21)-LN(Girdiler!$F$7*Girdiler!$F$6))/Girdiler!$F$8)-NORMSDIST((LN(B21)-LN(Girdiler!$F$7*Girdiler!$F$6))/Girdiler!$F$8))/(NORMSDIST((LN((24*Girdiler!$F$6))-LN(Girdiler!$F$7*Girdiler!$F$6))/Girdiler!$F$8)-NORMSDIST((LN((0.1*Girdiler!$F$6))-LN(Girdiler!$F$7*Girdiler!$F$6))/Girdiler!$F$8))</f>
        <v/>
      </c>
      <c r="F21">
        <f>(1-Girdiler!$F$13)*D21</f>
        <v/>
      </c>
      <c r="G21">
        <f>SUMPRODUCT((F21&gt;Girdiler!$D$47:$D$51)*(F21-Girdiler!$D$47:$D$51)*Girdiler!$C$47:$C$51)</f>
        <v/>
      </c>
      <c r="H21">
        <f>G21/D21</f>
        <v/>
      </c>
      <c r="I21">
        <f>Girdiler!$F$14*G21*(1-Girdiler!$F$16)*(1+Girdiler!$F$15)</f>
        <v/>
      </c>
      <c r="J21">
        <f>IF(D21&gt;=12*Girdiler!$F$6,Girdiler!$F$19*Girdiler!$F$18*Girdiler!$F$6*Girdiler!$F$17,0)</f>
        <v/>
      </c>
      <c r="K21">
        <f>Girdiler!$F$20*MIN(Girdiler!$F$22*G21,Girdiler!$F$21)</f>
        <v/>
      </c>
      <c r="L21">
        <f>SUMPRODUCT((Girdiler!$F$23*D21&gt;Girdiler!$D$47:$D$51)*(Girdiler!$F$23*D21-Girdiler!$D$47:$D$51)*Girdiler!$C$47:$C$51)</f>
        <v/>
      </c>
      <c r="M21">
        <f>Girdiler!$F$25*Girdiler!$F$24*(1-Girdiler!$F$11)</f>
        <v/>
      </c>
      <c r="N21">
        <f>Girdiler!$F$27*Girdiler!$F$26*Girdiler!$F$23*D21</f>
        <v/>
      </c>
    </row>
    <row r="22">
      <c r="A22" t="n">
        <v>20</v>
      </c>
      <c r="B22">
        <f>(0.1*Girdiler!$F$6)*((24*Girdiler!$F$6)/(0.1*Girdiler!$F$6))^(A22/60)</f>
        <v/>
      </c>
      <c r="C22">
        <f>(0.1*Girdiler!$F$6)*((24*Girdiler!$F$6)/(0.1*Girdiler!$F$6))^((A22+1)/60)</f>
        <v/>
      </c>
      <c r="D22">
        <f>SQRT(B22*C22)</f>
        <v/>
      </c>
      <c r="E22">
        <f>(NORMSDIST((LN(C22)-LN(Girdiler!$F$7*Girdiler!$F$6))/Girdiler!$F$8)-NORMSDIST((LN(B22)-LN(Girdiler!$F$7*Girdiler!$F$6))/Girdiler!$F$8))/(NORMSDIST((LN((24*Girdiler!$F$6))-LN(Girdiler!$F$7*Girdiler!$F$6))/Girdiler!$F$8)-NORMSDIST((LN((0.1*Girdiler!$F$6))-LN(Girdiler!$F$7*Girdiler!$F$6))/Girdiler!$F$8))</f>
        <v/>
      </c>
      <c r="F22">
        <f>(1-Girdiler!$F$13)*D22</f>
        <v/>
      </c>
      <c r="G22">
        <f>SUMPRODUCT((F22&gt;Girdiler!$D$47:$D$51)*(F22-Girdiler!$D$47:$D$51)*Girdiler!$C$47:$C$51)</f>
        <v/>
      </c>
      <c r="H22">
        <f>G22/D22</f>
        <v/>
      </c>
      <c r="I22">
        <f>Girdiler!$F$14*G22*(1-Girdiler!$F$16)*(1+Girdiler!$F$15)</f>
        <v/>
      </c>
      <c r="J22">
        <f>IF(D22&gt;=12*Girdiler!$F$6,Girdiler!$F$19*Girdiler!$F$18*Girdiler!$F$6*Girdiler!$F$17,0)</f>
        <v/>
      </c>
      <c r="K22">
        <f>Girdiler!$F$20*MIN(Girdiler!$F$22*G22,Girdiler!$F$21)</f>
        <v/>
      </c>
      <c r="L22">
        <f>SUMPRODUCT((Girdiler!$F$23*D22&gt;Girdiler!$D$47:$D$51)*(Girdiler!$F$23*D22-Girdiler!$D$47:$D$51)*Girdiler!$C$47:$C$51)</f>
        <v/>
      </c>
      <c r="M22">
        <f>Girdiler!$F$25*Girdiler!$F$24*(1-Girdiler!$F$11)</f>
        <v/>
      </c>
      <c r="N22">
        <f>Girdiler!$F$27*Girdiler!$F$26*Girdiler!$F$23*D22</f>
        <v/>
      </c>
    </row>
    <row r="23">
      <c r="A23" t="n">
        <v>21</v>
      </c>
      <c r="B23">
        <f>(0.1*Girdiler!$F$6)*((24*Girdiler!$F$6)/(0.1*Girdiler!$F$6))^(A23/60)</f>
        <v/>
      </c>
      <c r="C23">
        <f>(0.1*Girdiler!$F$6)*((24*Girdiler!$F$6)/(0.1*Girdiler!$F$6))^((A23+1)/60)</f>
        <v/>
      </c>
      <c r="D23">
        <f>SQRT(B23*C23)</f>
        <v/>
      </c>
      <c r="E23">
        <f>(NORMSDIST((LN(C23)-LN(Girdiler!$F$7*Girdiler!$F$6))/Girdiler!$F$8)-NORMSDIST((LN(B23)-LN(Girdiler!$F$7*Girdiler!$F$6))/Girdiler!$F$8))/(NORMSDIST((LN((24*Girdiler!$F$6))-LN(Girdiler!$F$7*Girdiler!$F$6))/Girdiler!$F$8)-NORMSDIST((LN((0.1*Girdiler!$F$6))-LN(Girdiler!$F$7*Girdiler!$F$6))/Girdiler!$F$8))</f>
        <v/>
      </c>
      <c r="F23">
        <f>(1-Girdiler!$F$13)*D23</f>
        <v/>
      </c>
      <c r="G23">
        <f>SUMPRODUCT((F23&gt;Girdiler!$D$47:$D$51)*(F23-Girdiler!$D$47:$D$51)*Girdiler!$C$47:$C$51)</f>
        <v/>
      </c>
      <c r="H23">
        <f>G23/D23</f>
        <v/>
      </c>
      <c r="I23">
        <f>Girdiler!$F$14*G23*(1-Girdiler!$F$16)*(1+Girdiler!$F$15)</f>
        <v/>
      </c>
      <c r="J23">
        <f>IF(D23&gt;=12*Girdiler!$F$6,Girdiler!$F$19*Girdiler!$F$18*Girdiler!$F$6*Girdiler!$F$17,0)</f>
        <v/>
      </c>
      <c r="K23">
        <f>Girdiler!$F$20*MIN(Girdiler!$F$22*G23,Girdiler!$F$21)</f>
        <v/>
      </c>
      <c r="L23">
        <f>SUMPRODUCT((Girdiler!$F$23*D23&gt;Girdiler!$D$47:$D$51)*(Girdiler!$F$23*D23-Girdiler!$D$47:$D$51)*Girdiler!$C$47:$C$51)</f>
        <v/>
      </c>
      <c r="M23">
        <f>Girdiler!$F$25*Girdiler!$F$24*(1-Girdiler!$F$11)</f>
        <v/>
      </c>
      <c r="N23">
        <f>Girdiler!$F$27*Girdiler!$F$26*Girdiler!$F$23*D23</f>
        <v/>
      </c>
    </row>
    <row r="24">
      <c r="A24" t="n">
        <v>22</v>
      </c>
      <c r="B24">
        <f>(0.1*Girdiler!$F$6)*((24*Girdiler!$F$6)/(0.1*Girdiler!$F$6))^(A24/60)</f>
        <v/>
      </c>
      <c r="C24">
        <f>(0.1*Girdiler!$F$6)*((24*Girdiler!$F$6)/(0.1*Girdiler!$F$6))^((A24+1)/60)</f>
        <v/>
      </c>
      <c r="D24">
        <f>SQRT(B24*C24)</f>
        <v/>
      </c>
      <c r="E24">
        <f>(NORMSDIST((LN(C24)-LN(Girdiler!$F$7*Girdiler!$F$6))/Girdiler!$F$8)-NORMSDIST((LN(B24)-LN(Girdiler!$F$7*Girdiler!$F$6))/Girdiler!$F$8))/(NORMSDIST((LN((24*Girdiler!$F$6))-LN(Girdiler!$F$7*Girdiler!$F$6))/Girdiler!$F$8)-NORMSDIST((LN((0.1*Girdiler!$F$6))-LN(Girdiler!$F$7*Girdiler!$F$6))/Girdiler!$F$8))</f>
        <v/>
      </c>
      <c r="F24">
        <f>(1-Girdiler!$F$13)*D24</f>
        <v/>
      </c>
      <c r="G24">
        <f>SUMPRODUCT((F24&gt;Girdiler!$D$47:$D$51)*(F24-Girdiler!$D$47:$D$51)*Girdiler!$C$47:$C$51)</f>
        <v/>
      </c>
      <c r="H24">
        <f>G24/D24</f>
        <v/>
      </c>
      <c r="I24">
        <f>Girdiler!$F$14*G24*(1-Girdiler!$F$16)*(1+Girdiler!$F$15)</f>
        <v/>
      </c>
      <c r="J24">
        <f>IF(D24&gt;=12*Girdiler!$F$6,Girdiler!$F$19*Girdiler!$F$18*Girdiler!$F$6*Girdiler!$F$17,0)</f>
        <v/>
      </c>
      <c r="K24">
        <f>Girdiler!$F$20*MIN(Girdiler!$F$22*G24,Girdiler!$F$21)</f>
        <v/>
      </c>
      <c r="L24">
        <f>SUMPRODUCT((Girdiler!$F$23*D24&gt;Girdiler!$D$47:$D$51)*(Girdiler!$F$23*D24-Girdiler!$D$47:$D$51)*Girdiler!$C$47:$C$51)</f>
        <v/>
      </c>
      <c r="M24">
        <f>Girdiler!$F$25*Girdiler!$F$24*(1-Girdiler!$F$11)</f>
        <v/>
      </c>
      <c r="N24">
        <f>Girdiler!$F$27*Girdiler!$F$26*Girdiler!$F$23*D24</f>
        <v/>
      </c>
    </row>
    <row r="25">
      <c r="A25" t="n">
        <v>23</v>
      </c>
      <c r="B25">
        <f>(0.1*Girdiler!$F$6)*((24*Girdiler!$F$6)/(0.1*Girdiler!$F$6))^(A25/60)</f>
        <v/>
      </c>
      <c r="C25">
        <f>(0.1*Girdiler!$F$6)*((24*Girdiler!$F$6)/(0.1*Girdiler!$F$6))^((A25+1)/60)</f>
        <v/>
      </c>
      <c r="D25">
        <f>SQRT(B25*C25)</f>
        <v/>
      </c>
      <c r="E25">
        <f>(NORMSDIST((LN(C25)-LN(Girdiler!$F$7*Girdiler!$F$6))/Girdiler!$F$8)-NORMSDIST((LN(B25)-LN(Girdiler!$F$7*Girdiler!$F$6))/Girdiler!$F$8))/(NORMSDIST((LN((24*Girdiler!$F$6))-LN(Girdiler!$F$7*Girdiler!$F$6))/Girdiler!$F$8)-NORMSDIST((LN((0.1*Girdiler!$F$6))-LN(Girdiler!$F$7*Girdiler!$F$6))/Girdiler!$F$8))</f>
        <v/>
      </c>
      <c r="F25">
        <f>(1-Girdiler!$F$13)*D25</f>
        <v/>
      </c>
      <c r="G25">
        <f>SUMPRODUCT((F25&gt;Girdiler!$D$47:$D$51)*(F25-Girdiler!$D$47:$D$51)*Girdiler!$C$47:$C$51)</f>
        <v/>
      </c>
      <c r="H25">
        <f>G25/D25</f>
        <v/>
      </c>
      <c r="I25">
        <f>Girdiler!$F$14*G25*(1-Girdiler!$F$16)*(1+Girdiler!$F$15)</f>
        <v/>
      </c>
      <c r="J25">
        <f>IF(D25&gt;=12*Girdiler!$F$6,Girdiler!$F$19*Girdiler!$F$18*Girdiler!$F$6*Girdiler!$F$17,0)</f>
        <v/>
      </c>
      <c r="K25">
        <f>Girdiler!$F$20*MIN(Girdiler!$F$22*G25,Girdiler!$F$21)</f>
        <v/>
      </c>
      <c r="L25">
        <f>SUMPRODUCT((Girdiler!$F$23*D25&gt;Girdiler!$D$47:$D$51)*(Girdiler!$F$23*D25-Girdiler!$D$47:$D$51)*Girdiler!$C$47:$C$51)</f>
        <v/>
      </c>
      <c r="M25">
        <f>Girdiler!$F$25*Girdiler!$F$24*(1-Girdiler!$F$11)</f>
        <v/>
      </c>
      <c r="N25">
        <f>Girdiler!$F$27*Girdiler!$F$26*Girdiler!$F$23*D25</f>
        <v/>
      </c>
    </row>
    <row r="26">
      <c r="A26" t="n">
        <v>24</v>
      </c>
      <c r="B26">
        <f>(0.1*Girdiler!$F$6)*((24*Girdiler!$F$6)/(0.1*Girdiler!$F$6))^(A26/60)</f>
        <v/>
      </c>
      <c r="C26">
        <f>(0.1*Girdiler!$F$6)*((24*Girdiler!$F$6)/(0.1*Girdiler!$F$6))^((A26+1)/60)</f>
        <v/>
      </c>
      <c r="D26">
        <f>SQRT(B26*C26)</f>
        <v/>
      </c>
      <c r="E26">
        <f>(NORMSDIST((LN(C26)-LN(Girdiler!$F$7*Girdiler!$F$6))/Girdiler!$F$8)-NORMSDIST((LN(B26)-LN(Girdiler!$F$7*Girdiler!$F$6))/Girdiler!$F$8))/(NORMSDIST((LN((24*Girdiler!$F$6))-LN(Girdiler!$F$7*Girdiler!$F$6))/Girdiler!$F$8)-NORMSDIST((LN((0.1*Girdiler!$F$6))-LN(Girdiler!$F$7*Girdiler!$F$6))/Girdiler!$F$8))</f>
        <v/>
      </c>
      <c r="F26">
        <f>(1-Girdiler!$F$13)*D26</f>
        <v/>
      </c>
      <c r="G26">
        <f>SUMPRODUCT((F26&gt;Girdiler!$D$47:$D$51)*(F26-Girdiler!$D$47:$D$51)*Girdiler!$C$47:$C$51)</f>
        <v/>
      </c>
      <c r="H26">
        <f>G26/D26</f>
        <v/>
      </c>
      <c r="I26">
        <f>Girdiler!$F$14*G26*(1-Girdiler!$F$16)*(1+Girdiler!$F$15)</f>
        <v/>
      </c>
      <c r="J26">
        <f>IF(D26&gt;=12*Girdiler!$F$6,Girdiler!$F$19*Girdiler!$F$18*Girdiler!$F$6*Girdiler!$F$17,0)</f>
        <v/>
      </c>
      <c r="K26">
        <f>Girdiler!$F$20*MIN(Girdiler!$F$22*G26,Girdiler!$F$21)</f>
        <v/>
      </c>
      <c r="L26">
        <f>SUMPRODUCT((Girdiler!$F$23*D26&gt;Girdiler!$D$47:$D$51)*(Girdiler!$F$23*D26-Girdiler!$D$47:$D$51)*Girdiler!$C$47:$C$51)</f>
        <v/>
      </c>
      <c r="M26">
        <f>Girdiler!$F$25*Girdiler!$F$24*(1-Girdiler!$F$11)</f>
        <v/>
      </c>
      <c r="N26">
        <f>Girdiler!$F$27*Girdiler!$F$26*Girdiler!$F$23*D26</f>
        <v/>
      </c>
    </row>
    <row r="27">
      <c r="A27" t="n">
        <v>25</v>
      </c>
      <c r="B27">
        <f>(0.1*Girdiler!$F$6)*((24*Girdiler!$F$6)/(0.1*Girdiler!$F$6))^(A27/60)</f>
        <v/>
      </c>
      <c r="C27">
        <f>(0.1*Girdiler!$F$6)*((24*Girdiler!$F$6)/(0.1*Girdiler!$F$6))^((A27+1)/60)</f>
        <v/>
      </c>
      <c r="D27">
        <f>SQRT(B27*C27)</f>
        <v/>
      </c>
      <c r="E27">
        <f>(NORMSDIST((LN(C27)-LN(Girdiler!$F$7*Girdiler!$F$6))/Girdiler!$F$8)-NORMSDIST((LN(B27)-LN(Girdiler!$F$7*Girdiler!$F$6))/Girdiler!$F$8))/(NORMSDIST((LN((24*Girdiler!$F$6))-LN(Girdiler!$F$7*Girdiler!$F$6))/Girdiler!$F$8)-NORMSDIST((LN((0.1*Girdiler!$F$6))-LN(Girdiler!$F$7*Girdiler!$F$6))/Girdiler!$F$8))</f>
        <v/>
      </c>
      <c r="F27">
        <f>(1-Girdiler!$F$13)*D27</f>
        <v/>
      </c>
      <c r="G27">
        <f>SUMPRODUCT((F27&gt;Girdiler!$D$47:$D$51)*(F27-Girdiler!$D$47:$D$51)*Girdiler!$C$47:$C$51)</f>
        <v/>
      </c>
      <c r="H27">
        <f>G27/D27</f>
        <v/>
      </c>
      <c r="I27">
        <f>Girdiler!$F$14*G27*(1-Girdiler!$F$16)*(1+Girdiler!$F$15)</f>
        <v/>
      </c>
      <c r="J27">
        <f>IF(D27&gt;=12*Girdiler!$F$6,Girdiler!$F$19*Girdiler!$F$18*Girdiler!$F$6*Girdiler!$F$17,0)</f>
        <v/>
      </c>
      <c r="K27">
        <f>Girdiler!$F$20*MIN(Girdiler!$F$22*G27,Girdiler!$F$21)</f>
        <v/>
      </c>
      <c r="L27">
        <f>SUMPRODUCT((Girdiler!$F$23*D27&gt;Girdiler!$D$47:$D$51)*(Girdiler!$F$23*D27-Girdiler!$D$47:$D$51)*Girdiler!$C$47:$C$51)</f>
        <v/>
      </c>
      <c r="M27">
        <f>Girdiler!$F$25*Girdiler!$F$24*(1-Girdiler!$F$11)</f>
        <v/>
      </c>
      <c r="N27">
        <f>Girdiler!$F$27*Girdiler!$F$26*Girdiler!$F$23*D27</f>
        <v/>
      </c>
    </row>
    <row r="28">
      <c r="A28" t="n">
        <v>26</v>
      </c>
      <c r="B28">
        <f>(0.1*Girdiler!$F$6)*((24*Girdiler!$F$6)/(0.1*Girdiler!$F$6))^(A28/60)</f>
        <v/>
      </c>
      <c r="C28">
        <f>(0.1*Girdiler!$F$6)*((24*Girdiler!$F$6)/(0.1*Girdiler!$F$6))^((A28+1)/60)</f>
        <v/>
      </c>
      <c r="D28">
        <f>SQRT(B28*C28)</f>
        <v/>
      </c>
      <c r="E28">
        <f>(NORMSDIST((LN(C28)-LN(Girdiler!$F$7*Girdiler!$F$6))/Girdiler!$F$8)-NORMSDIST((LN(B28)-LN(Girdiler!$F$7*Girdiler!$F$6))/Girdiler!$F$8))/(NORMSDIST((LN((24*Girdiler!$F$6))-LN(Girdiler!$F$7*Girdiler!$F$6))/Girdiler!$F$8)-NORMSDIST((LN((0.1*Girdiler!$F$6))-LN(Girdiler!$F$7*Girdiler!$F$6))/Girdiler!$F$8))</f>
        <v/>
      </c>
      <c r="F28">
        <f>(1-Girdiler!$F$13)*D28</f>
        <v/>
      </c>
      <c r="G28">
        <f>SUMPRODUCT((F28&gt;Girdiler!$D$47:$D$51)*(F28-Girdiler!$D$47:$D$51)*Girdiler!$C$47:$C$51)</f>
        <v/>
      </c>
      <c r="H28">
        <f>G28/D28</f>
        <v/>
      </c>
      <c r="I28">
        <f>Girdiler!$F$14*G28*(1-Girdiler!$F$16)*(1+Girdiler!$F$15)</f>
        <v/>
      </c>
      <c r="J28">
        <f>IF(D28&gt;=12*Girdiler!$F$6,Girdiler!$F$19*Girdiler!$F$18*Girdiler!$F$6*Girdiler!$F$17,0)</f>
        <v/>
      </c>
      <c r="K28">
        <f>Girdiler!$F$20*MIN(Girdiler!$F$22*G28,Girdiler!$F$21)</f>
        <v/>
      </c>
      <c r="L28">
        <f>SUMPRODUCT((Girdiler!$F$23*D28&gt;Girdiler!$D$47:$D$51)*(Girdiler!$F$23*D28-Girdiler!$D$47:$D$51)*Girdiler!$C$47:$C$51)</f>
        <v/>
      </c>
      <c r="M28">
        <f>Girdiler!$F$25*Girdiler!$F$24*(1-Girdiler!$F$11)</f>
        <v/>
      </c>
      <c r="N28">
        <f>Girdiler!$F$27*Girdiler!$F$26*Girdiler!$F$23*D28</f>
        <v/>
      </c>
    </row>
    <row r="29">
      <c r="A29" t="n">
        <v>27</v>
      </c>
      <c r="B29">
        <f>(0.1*Girdiler!$F$6)*((24*Girdiler!$F$6)/(0.1*Girdiler!$F$6))^(A29/60)</f>
        <v/>
      </c>
      <c r="C29">
        <f>(0.1*Girdiler!$F$6)*((24*Girdiler!$F$6)/(0.1*Girdiler!$F$6))^((A29+1)/60)</f>
        <v/>
      </c>
      <c r="D29">
        <f>SQRT(B29*C29)</f>
        <v/>
      </c>
      <c r="E29">
        <f>(NORMSDIST((LN(C29)-LN(Girdiler!$F$7*Girdiler!$F$6))/Girdiler!$F$8)-NORMSDIST((LN(B29)-LN(Girdiler!$F$7*Girdiler!$F$6))/Girdiler!$F$8))/(NORMSDIST((LN((24*Girdiler!$F$6))-LN(Girdiler!$F$7*Girdiler!$F$6))/Girdiler!$F$8)-NORMSDIST((LN((0.1*Girdiler!$F$6))-LN(Girdiler!$F$7*Girdiler!$F$6))/Girdiler!$F$8))</f>
        <v/>
      </c>
      <c r="F29">
        <f>(1-Girdiler!$F$13)*D29</f>
        <v/>
      </c>
      <c r="G29">
        <f>SUMPRODUCT((F29&gt;Girdiler!$D$47:$D$51)*(F29-Girdiler!$D$47:$D$51)*Girdiler!$C$47:$C$51)</f>
        <v/>
      </c>
      <c r="H29">
        <f>G29/D29</f>
        <v/>
      </c>
      <c r="I29">
        <f>Girdiler!$F$14*G29*(1-Girdiler!$F$16)*(1+Girdiler!$F$15)</f>
        <v/>
      </c>
      <c r="J29">
        <f>IF(D29&gt;=12*Girdiler!$F$6,Girdiler!$F$19*Girdiler!$F$18*Girdiler!$F$6*Girdiler!$F$17,0)</f>
        <v/>
      </c>
      <c r="K29">
        <f>Girdiler!$F$20*MIN(Girdiler!$F$22*G29,Girdiler!$F$21)</f>
        <v/>
      </c>
      <c r="L29">
        <f>SUMPRODUCT((Girdiler!$F$23*D29&gt;Girdiler!$D$47:$D$51)*(Girdiler!$F$23*D29-Girdiler!$D$47:$D$51)*Girdiler!$C$47:$C$51)</f>
        <v/>
      </c>
      <c r="M29">
        <f>Girdiler!$F$25*Girdiler!$F$24*(1-Girdiler!$F$11)</f>
        <v/>
      </c>
      <c r="N29">
        <f>Girdiler!$F$27*Girdiler!$F$26*Girdiler!$F$23*D29</f>
        <v/>
      </c>
    </row>
    <row r="30">
      <c r="A30" t="n">
        <v>28</v>
      </c>
      <c r="B30">
        <f>(0.1*Girdiler!$F$6)*((24*Girdiler!$F$6)/(0.1*Girdiler!$F$6))^(A30/60)</f>
        <v/>
      </c>
      <c r="C30">
        <f>(0.1*Girdiler!$F$6)*((24*Girdiler!$F$6)/(0.1*Girdiler!$F$6))^((A30+1)/60)</f>
        <v/>
      </c>
      <c r="D30">
        <f>SQRT(B30*C30)</f>
        <v/>
      </c>
      <c r="E30">
        <f>(NORMSDIST((LN(C30)-LN(Girdiler!$F$7*Girdiler!$F$6))/Girdiler!$F$8)-NORMSDIST((LN(B30)-LN(Girdiler!$F$7*Girdiler!$F$6))/Girdiler!$F$8))/(NORMSDIST((LN((24*Girdiler!$F$6))-LN(Girdiler!$F$7*Girdiler!$F$6))/Girdiler!$F$8)-NORMSDIST((LN((0.1*Girdiler!$F$6))-LN(Girdiler!$F$7*Girdiler!$F$6))/Girdiler!$F$8))</f>
        <v/>
      </c>
      <c r="F30">
        <f>(1-Girdiler!$F$13)*D30</f>
        <v/>
      </c>
      <c r="G30">
        <f>SUMPRODUCT((F30&gt;Girdiler!$D$47:$D$51)*(F30-Girdiler!$D$47:$D$51)*Girdiler!$C$47:$C$51)</f>
        <v/>
      </c>
      <c r="H30">
        <f>G30/D30</f>
        <v/>
      </c>
      <c r="I30">
        <f>Girdiler!$F$14*G30*(1-Girdiler!$F$16)*(1+Girdiler!$F$15)</f>
        <v/>
      </c>
      <c r="J30">
        <f>IF(D30&gt;=12*Girdiler!$F$6,Girdiler!$F$19*Girdiler!$F$18*Girdiler!$F$6*Girdiler!$F$17,0)</f>
        <v/>
      </c>
      <c r="K30">
        <f>Girdiler!$F$20*MIN(Girdiler!$F$22*G30,Girdiler!$F$21)</f>
        <v/>
      </c>
      <c r="L30">
        <f>SUMPRODUCT((Girdiler!$F$23*D30&gt;Girdiler!$D$47:$D$51)*(Girdiler!$F$23*D30-Girdiler!$D$47:$D$51)*Girdiler!$C$47:$C$51)</f>
        <v/>
      </c>
      <c r="M30">
        <f>Girdiler!$F$25*Girdiler!$F$24*(1-Girdiler!$F$11)</f>
        <v/>
      </c>
      <c r="N30">
        <f>Girdiler!$F$27*Girdiler!$F$26*Girdiler!$F$23*D30</f>
        <v/>
      </c>
    </row>
    <row r="31">
      <c r="A31" t="n">
        <v>29</v>
      </c>
      <c r="B31">
        <f>(0.1*Girdiler!$F$6)*((24*Girdiler!$F$6)/(0.1*Girdiler!$F$6))^(A31/60)</f>
        <v/>
      </c>
      <c r="C31">
        <f>(0.1*Girdiler!$F$6)*((24*Girdiler!$F$6)/(0.1*Girdiler!$F$6))^((A31+1)/60)</f>
        <v/>
      </c>
      <c r="D31">
        <f>SQRT(B31*C31)</f>
        <v/>
      </c>
      <c r="E31">
        <f>(NORMSDIST((LN(C31)-LN(Girdiler!$F$7*Girdiler!$F$6))/Girdiler!$F$8)-NORMSDIST((LN(B31)-LN(Girdiler!$F$7*Girdiler!$F$6))/Girdiler!$F$8))/(NORMSDIST((LN((24*Girdiler!$F$6))-LN(Girdiler!$F$7*Girdiler!$F$6))/Girdiler!$F$8)-NORMSDIST((LN((0.1*Girdiler!$F$6))-LN(Girdiler!$F$7*Girdiler!$F$6))/Girdiler!$F$8))</f>
        <v/>
      </c>
      <c r="F31">
        <f>(1-Girdiler!$F$13)*D31</f>
        <v/>
      </c>
      <c r="G31">
        <f>SUMPRODUCT((F31&gt;Girdiler!$D$47:$D$51)*(F31-Girdiler!$D$47:$D$51)*Girdiler!$C$47:$C$51)</f>
        <v/>
      </c>
      <c r="H31">
        <f>G31/D31</f>
        <v/>
      </c>
      <c r="I31">
        <f>Girdiler!$F$14*G31*(1-Girdiler!$F$16)*(1+Girdiler!$F$15)</f>
        <v/>
      </c>
      <c r="J31">
        <f>IF(D31&gt;=12*Girdiler!$F$6,Girdiler!$F$19*Girdiler!$F$18*Girdiler!$F$6*Girdiler!$F$17,0)</f>
        <v/>
      </c>
      <c r="K31">
        <f>Girdiler!$F$20*MIN(Girdiler!$F$22*G31,Girdiler!$F$21)</f>
        <v/>
      </c>
      <c r="L31">
        <f>SUMPRODUCT((Girdiler!$F$23*D31&gt;Girdiler!$D$47:$D$51)*(Girdiler!$F$23*D31-Girdiler!$D$47:$D$51)*Girdiler!$C$47:$C$51)</f>
        <v/>
      </c>
      <c r="M31">
        <f>Girdiler!$F$25*Girdiler!$F$24*(1-Girdiler!$F$11)</f>
        <v/>
      </c>
      <c r="N31">
        <f>Girdiler!$F$27*Girdiler!$F$26*Girdiler!$F$23*D31</f>
        <v/>
      </c>
    </row>
    <row r="32">
      <c r="A32" t="n">
        <v>30</v>
      </c>
      <c r="B32">
        <f>(0.1*Girdiler!$F$6)*((24*Girdiler!$F$6)/(0.1*Girdiler!$F$6))^(A32/60)</f>
        <v/>
      </c>
      <c r="C32">
        <f>(0.1*Girdiler!$F$6)*((24*Girdiler!$F$6)/(0.1*Girdiler!$F$6))^((A32+1)/60)</f>
        <v/>
      </c>
      <c r="D32">
        <f>SQRT(B32*C32)</f>
        <v/>
      </c>
      <c r="E32">
        <f>(NORMSDIST((LN(C32)-LN(Girdiler!$F$7*Girdiler!$F$6))/Girdiler!$F$8)-NORMSDIST((LN(B32)-LN(Girdiler!$F$7*Girdiler!$F$6))/Girdiler!$F$8))/(NORMSDIST((LN((24*Girdiler!$F$6))-LN(Girdiler!$F$7*Girdiler!$F$6))/Girdiler!$F$8)-NORMSDIST((LN((0.1*Girdiler!$F$6))-LN(Girdiler!$F$7*Girdiler!$F$6))/Girdiler!$F$8))</f>
        <v/>
      </c>
      <c r="F32">
        <f>(1-Girdiler!$F$13)*D32</f>
        <v/>
      </c>
      <c r="G32">
        <f>SUMPRODUCT((F32&gt;Girdiler!$D$47:$D$51)*(F32-Girdiler!$D$47:$D$51)*Girdiler!$C$47:$C$51)</f>
        <v/>
      </c>
      <c r="H32">
        <f>G32/D32</f>
        <v/>
      </c>
      <c r="I32">
        <f>Girdiler!$F$14*G32*(1-Girdiler!$F$16)*(1+Girdiler!$F$15)</f>
        <v/>
      </c>
      <c r="J32">
        <f>IF(D32&gt;=12*Girdiler!$F$6,Girdiler!$F$19*Girdiler!$F$18*Girdiler!$F$6*Girdiler!$F$17,0)</f>
        <v/>
      </c>
      <c r="K32">
        <f>Girdiler!$F$20*MIN(Girdiler!$F$22*G32,Girdiler!$F$21)</f>
        <v/>
      </c>
      <c r="L32">
        <f>SUMPRODUCT((Girdiler!$F$23*D32&gt;Girdiler!$D$47:$D$51)*(Girdiler!$F$23*D32-Girdiler!$D$47:$D$51)*Girdiler!$C$47:$C$51)</f>
        <v/>
      </c>
      <c r="M32">
        <f>Girdiler!$F$25*Girdiler!$F$24*(1-Girdiler!$F$11)</f>
        <v/>
      </c>
      <c r="N32">
        <f>Girdiler!$F$27*Girdiler!$F$26*Girdiler!$F$23*D32</f>
        <v/>
      </c>
    </row>
    <row r="33">
      <c r="A33" t="n">
        <v>31</v>
      </c>
      <c r="B33">
        <f>(0.1*Girdiler!$F$6)*((24*Girdiler!$F$6)/(0.1*Girdiler!$F$6))^(A33/60)</f>
        <v/>
      </c>
      <c r="C33">
        <f>(0.1*Girdiler!$F$6)*((24*Girdiler!$F$6)/(0.1*Girdiler!$F$6))^((A33+1)/60)</f>
        <v/>
      </c>
      <c r="D33">
        <f>SQRT(B33*C33)</f>
        <v/>
      </c>
      <c r="E33">
        <f>(NORMSDIST((LN(C33)-LN(Girdiler!$F$7*Girdiler!$F$6))/Girdiler!$F$8)-NORMSDIST((LN(B33)-LN(Girdiler!$F$7*Girdiler!$F$6))/Girdiler!$F$8))/(NORMSDIST((LN((24*Girdiler!$F$6))-LN(Girdiler!$F$7*Girdiler!$F$6))/Girdiler!$F$8)-NORMSDIST((LN((0.1*Girdiler!$F$6))-LN(Girdiler!$F$7*Girdiler!$F$6))/Girdiler!$F$8))</f>
        <v/>
      </c>
      <c r="F33">
        <f>(1-Girdiler!$F$13)*D33</f>
        <v/>
      </c>
      <c r="G33">
        <f>SUMPRODUCT((F33&gt;Girdiler!$D$47:$D$51)*(F33-Girdiler!$D$47:$D$51)*Girdiler!$C$47:$C$51)</f>
        <v/>
      </c>
      <c r="H33">
        <f>G33/D33</f>
        <v/>
      </c>
      <c r="I33">
        <f>Girdiler!$F$14*G33*(1-Girdiler!$F$16)*(1+Girdiler!$F$15)</f>
        <v/>
      </c>
      <c r="J33">
        <f>IF(D33&gt;=12*Girdiler!$F$6,Girdiler!$F$19*Girdiler!$F$18*Girdiler!$F$6*Girdiler!$F$17,0)</f>
        <v/>
      </c>
      <c r="K33">
        <f>Girdiler!$F$20*MIN(Girdiler!$F$22*G33,Girdiler!$F$21)</f>
        <v/>
      </c>
      <c r="L33">
        <f>SUMPRODUCT((Girdiler!$F$23*D33&gt;Girdiler!$D$47:$D$51)*(Girdiler!$F$23*D33-Girdiler!$D$47:$D$51)*Girdiler!$C$47:$C$51)</f>
        <v/>
      </c>
      <c r="M33">
        <f>Girdiler!$F$25*Girdiler!$F$24*(1-Girdiler!$F$11)</f>
        <v/>
      </c>
      <c r="N33">
        <f>Girdiler!$F$27*Girdiler!$F$26*Girdiler!$F$23*D33</f>
        <v/>
      </c>
    </row>
    <row r="34">
      <c r="A34" t="n">
        <v>32</v>
      </c>
      <c r="B34">
        <f>(0.1*Girdiler!$F$6)*((24*Girdiler!$F$6)/(0.1*Girdiler!$F$6))^(A34/60)</f>
        <v/>
      </c>
      <c r="C34">
        <f>(0.1*Girdiler!$F$6)*((24*Girdiler!$F$6)/(0.1*Girdiler!$F$6))^((A34+1)/60)</f>
        <v/>
      </c>
      <c r="D34">
        <f>SQRT(B34*C34)</f>
        <v/>
      </c>
      <c r="E34">
        <f>(NORMSDIST((LN(C34)-LN(Girdiler!$F$7*Girdiler!$F$6))/Girdiler!$F$8)-NORMSDIST((LN(B34)-LN(Girdiler!$F$7*Girdiler!$F$6))/Girdiler!$F$8))/(NORMSDIST((LN((24*Girdiler!$F$6))-LN(Girdiler!$F$7*Girdiler!$F$6))/Girdiler!$F$8)-NORMSDIST((LN((0.1*Girdiler!$F$6))-LN(Girdiler!$F$7*Girdiler!$F$6))/Girdiler!$F$8))</f>
        <v/>
      </c>
      <c r="F34">
        <f>(1-Girdiler!$F$13)*D34</f>
        <v/>
      </c>
      <c r="G34">
        <f>SUMPRODUCT((F34&gt;Girdiler!$D$47:$D$51)*(F34-Girdiler!$D$47:$D$51)*Girdiler!$C$47:$C$51)</f>
        <v/>
      </c>
      <c r="H34">
        <f>G34/D34</f>
        <v/>
      </c>
      <c r="I34">
        <f>Girdiler!$F$14*G34*(1-Girdiler!$F$16)*(1+Girdiler!$F$15)</f>
        <v/>
      </c>
      <c r="J34">
        <f>IF(D34&gt;=12*Girdiler!$F$6,Girdiler!$F$19*Girdiler!$F$18*Girdiler!$F$6*Girdiler!$F$17,0)</f>
        <v/>
      </c>
      <c r="K34">
        <f>Girdiler!$F$20*MIN(Girdiler!$F$22*G34,Girdiler!$F$21)</f>
        <v/>
      </c>
      <c r="L34">
        <f>SUMPRODUCT((Girdiler!$F$23*D34&gt;Girdiler!$D$47:$D$51)*(Girdiler!$F$23*D34-Girdiler!$D$47:$D$51)*Girdiler!$C$47:$C$51)</f>
        <v/>
      </c>
      <c r="M34">
        <f>Girdiler!$F$25*Girdiler!$F$24*(1-Girdiler!$F$11)</f>
        <v/>
      </c>
      <c r="N34">
        <f>Girdiler!$F$27*Girdiler!$F$26*Girdiler!$F$23*D34</f>
        <v/>
      </c>
    </row>
    <row r="35">
      <c r="A35" t="n">
        <v>33</v>
      </c>
      <c r="B35">
        <f>(0.1*Girdiler!$F$6)*((24*Girdiler!$F$6)/(0.1*Girdiler!$F$6))^(A35/60)</f>
        <v/>
      </c>
      <c r="C35">
        <f>(0.1*Girdiler!$F$6)*((24*Girdiler!$F$6)/(0.1*Girdiler!$F$6))^((A35+1)/60)</f>
        <v/>
      </c>
      <c r="D35">
        <f>SQRT(B35*C35)</f>
        <v/>
      </c>
      <c r="E35">
        <f>(NORMSDIST((LN(C35)-LN(Girdiler!$F$7*Girdiler!$F$6))/Girdiler!$F$8)-NORMSDIST((LN(B35)-LN(Girdiler!$F$7*Girdiler!$F$6))/Girdiler!$F$8))/(NORMSDIST((LN((24*Girdiler!$F$6))-LN(Girdiler!$F$7*Girdiler!$F$6))/Girdiler!$F$8)-NORMSDIST((LN((0.1*Girdiler!$F$6))-LN(Girdiler!$F$7*Girdiler!$F$6))/Girdiler!$F$8))</f>
        <v/>
      </c>
      <c r="F35">
        <f>(1-Girdiler!$F$13)*D35</f>
        <v/>
      </c>
      <c r="G35">
        <f>SUMPRODUCT((F35&gt;Girdiler!$D$47:$D$51)*(F35-Girdiler!$D$47:$D$51)*Girdiler!$C$47:$C$51)</f>
        <v/>
      </c>
      <c r="H35">
        <f>G35/D35</f>
        <v/>
      </c>
      <c r="I35">
        <f>Girdiler!$F$14*G35*(1-Girdiler!$F$16)*(1+Girdiler!$F$15)</f>
        <v/>
      </c>
      <c r="J35">
        <f>IF(D35&gt;=12*Girdiler!$F$6,Girdiler!$F$19*Girdiler!$F$18*Girdiler!$F$6*Girdiler!$F$17,0)</f>
        <v/>
      </c>
      <c r="K35">
        <f>Girdiler!$F$20*MIN(Girdiler!$F$22*G35,Girdiler!$F$21)</f>
        <v/>
      </c>
      <c r="L35">
        <f>SUMPRODUCT((Girdiler!$F$23*D35&gt;Girdiler!$D$47:$D$51)*(Girdiler!$F$23*D35-Girdiler!$D$47:$D$51)*Girdiler!$C$47:$C$51)</f>
        <v/>
      </c>
      <c r="M35">
        <f>Girdiler!$F$25*Girdiler!$F$24*(1-Girdiler!$F$11)</f>
        <v/>
      </c>
      <c r="N35">
        <f>Girdiler!$F$27*Girdiler!$F$26*Girdiler!$F$23*D35</f>
        <v/>
      </c>
    </row>
    <row r="36">
      <c r="A36" t="n">
        <v>34</v>
      </c>
      <c r="B36">
        <f>(0.1*Girdiler!$F$6)*((24*Girdiler!$F$6)/(0.1*Girdiler!$F$6))^(A36/60)</f>
        <v/>
      </c>
      <c r="C36">
        <f>(0.1*Girdiler!$F$6)*((24*Girdiler!$F$6)/(0.1*Girdiler!$F$6))^((A36+1)/60)</f>
        <v/>
      </c>
      <c r="D36">
        <f>SQRT(B36*C36)</f>
        <v/>
      </c>
      <c r="E36">
        <f>(NORMSDIST((LN(C36)-LN(Girdiler!$F$7*Girdiler!$F$6))/Girdiler!$F$8)-NORMSDIST((LN(B36)-LN(Girdiler!$F$7*Girdiler!$F$6))/Girdiler!$F$8))/(NORMSDIST((LN((24*Girdiler!$F$6))-LN(Girdiler!$F$7*Girdiler!$F$6))/Girdiler!$F$8)-NORMSDIST((LN((0.1*Girdiler!$F$6))-LN(Girdiler!$F$7*Girdiler!$F$6))/Girdiler!$F$8))</f>
        <v/>
      </c>
      <c r="F36">
        <f>(1-Girdiler!$F$13)*D36</f>
        <v/>
      </c>
      <c r="G36">
        <f>SUMPRODUCT((F36&gt;Girdiler!$D$47:$D$51)*(F36-Girdiler!$D$47:$D$51)*Girdiler!$C$47:$C$51)</f>
        <v/>
      </c>
      <c r="H36">
        <f>G36/D36</f>
        <v/>
      </c>
      <c r="I36">
        <f>Girdiler!$F$14*G36*(1-Girdiler!$F$16)*(1+Girdiler!$F$15)</f>
        <v/>
      </c>
      <c r="J36">
        <f>IF(D36&gt;=12*Girdiler!$F$6,Girdiler!$F$19*Girdiler!$F$18*Girdiler!$F$6*Girdiler!$F$17,0)</f>
        <v/>
      </c>
      <c r="K36">
        <f>Girdiler!$F$20*MIN(Girdiler!$F$22*G36,Girdiler!$F$21)</f>
        <v/>
      </c>
      <c r="L36">
        <f>SUMPRODUCT((Girdiler!$F$23*D36&gt;Girdiler!$D$47:$D$51)*(Girdiler!$F$23*D36-Girdiler!$D$47:$D$51)*Girdiler!$C$47:$C$51)</f>
        <v/>
      </c>
      <c r="M36">
        <f>Girdiler!$F$25*Girdiler!$F$24*(1-Girdiler!$F$11)</f>
        <v/>
      </c>
      <c r="N36">
        <f>Girdiler!$F$27*Girdiler!$F$26*Girdiler!$F$23*D36</f>
        <v/>
      </c>
    </row>
    <row r="37">
      <c r="A37" t="n">
        <v>35</v>
      </c>
      <c r="B37">
        <f>(0.1*Girdiler!$F$6)*((24*Girdiler!$F$6)/(0.1*Girdiler!$F$6))^(A37/60)</f>
        <v/>
      </c>
      <c r="C37">
        <f>(0.1*Girdiler!$F$6)*((24*Girdiler!$F$6)/(0.1*Girdiler!$F$6))^((A37+1)/60)</f>
        <v/>
      </c>
      <c r="D37">
        <f>SQRT(B37*C37)</f>
        <v/>
      </c>
      <c r="E37">
        <f>(NORMSDIST((LN(C37)-LN(Girdiler!$F$7*Girdiler!$F$6))/Girdiler!$F$8)-NORMSDIST((LN(B37)-LN(Girdiler!$F$7*Girdiler!$F$6))/Girdiler!$F$8))/(NORMSDIST((LN((24*Girdiler!$F$6))-LN(Girdiler!$F$7*Girdiler!$F$6))/Girdiler!$F$8)-NORMSDIST((LN((0.1*Girdiler!$F$6))-LN(Girdiler!$F$7*Girdiler!$F$6))/Girdiler!$F$8))</f>
        <v/>
      </c>
      <c r="F37">
        <f>(1-Girdiler!$F$13)*D37</f>
        <v/>
      </c>
      <c r="G37">
        <f>SUMPRODUCT((F37&gt;Girdiler!$D$47:$D$51)*(F37-Girdiler!$D$47:$D$51)*Girdiler!$C$47:$C$51)</f>
        <v/>
      </c>
      <c r="H37">
        <f>G37/D37</f>
        <v/>
      </c>
      <c r="I37">
        <f>Girdiler!$F$14*G37*(1-Girdiler!$F$16)*(1+Girdiler!$F$15)</f>
        <v/>
      </c>
      <c r="J37">
        <f>IF(D37&gt;=12*Girdiler!$F$6,Girdiler!$F$19*Girdiler!$F$18*Girdiler!$F$6*Girdiler!$F$17,0)</f>
        <v/>
      </c>
      <c r="K37">
        <f>Girdiler!$F$20*MIN(Girdiler!$F$22*G37,Girdiler!$F$21)</f>
        <v/>
      </c>
      <c r="L37">
        <f>SUMPRODUCT((Girdiler!$F$23*D37&gt;Girdiler!$D$47:$D$51)*(Girdiler!$F$23*D37-Girdiler!$D$47:$D$51)*Girdiler!$C$47:$C$51)</f>
        <v/>
      </c>
      <c r="M37">
        <f>Girdiler!$F$25*Girdiler!$F$24*(1-Girdiler!$F$11)</f>
        <v/>
      </c>
      <c r="N37">
        <f>Girdiler!$F$27*Girdiler!$F$26*Girdiler!$F$23*D37</f>
        <v/>
      </c>
    </row>
    <row r="38">
      <c r="A38" t="n">
        <v>36</v>
      </c>
      <c r="B38">
        <f>(0.1*Girdiler!$F$6)*((24*Girdiler!$F$6)/(0.1*Girdiler!$F$6))^(A38/60)</f>
        <v/>
      </c>
      <c r="C38">
        <f>(0.1*Girdiler!$F$6)*((24*Girdiler!$F$6)/(0.1*Girdiler!$F$6))^((A38+1)/60)</f>
        <v/>
      </c>
      <c r="D38">
        <f>SQRT(B38*C38)</f>
        <v/>
      </c>
      <c r="E38">
        <f>(NORMSDIST((LN(C38)-LN(Girdiler!$F$7*Girdiler!$F$6))/Girdiler!$F$8)-NORMSDIST((LN(B38)-LN(Girdiler!$F$7*Girdiler!$F$6))/Girdiler!$F$8))/(NORMSDIST((LN((24*Girdiler!$F$6))-LN(Girdiler!$F$7*Girdiler!$F$6))/Girdiler!$F$8)-NORMSDIST((LN((0.1*Girdiler!$F$6))-LN(Girdiler!$F$7*Girdiler!$F$6))/Girdiler!$F$8))</f>
        <v/>
      </c>
      <c r="F38">
        <f>(1-Girdiler!$F$13)*D38</f>
        <v/>
      </c>
      <c r="G38">
        <f>SUMPRODUCT((F38&gt;Girdiler!$D$47:$D$51)*(F38-Girdiler!$D$47:$D$51)*Girdiler!$C$47:$C$51)</f>
        <v/>
      </c>
      <c r="H38">
        <f>G38/D38</f>
        <v/>
      </c>
      <c r="I38">
        <f>Girdiler!$F$14*G38*(1-Girdiler!$F$16)*(1+Girdiler!$F$15)</f>
        <v/>
      </c>
      <c r="J38">
        <f>IF(D38&gt;=12*Girdiler!$F$6,Girdiler!$F$19*Girdiler!$F$18*Girdiler!$F$6*Girdiler!$F$17,0)</f>
        <v/>
      </c>
      <c r="K38">
        <f>Girdiler!$F$20*MIN(Girdiler!$F$22*G38,Girdiler!$F$21)</f>
        <v/>
      </c>
      <c r="L38">
        <f>SUMPRODUCT((Girdiler!$F$23*D38&gt;Girdiler!$D$47:$D$51)*(Girdiler!$F$23*D38-Girdiler!$D$47:$D$51)*Girdiler!$C$47:$C$51)</f>
        <v/>
      </c>
      <c r="M38">
        <f>Girdiler!$F$25*Girdiler!$F$24*(1-Girdiler!$F$11)</f>
        <v/>
      </c>
      <c r="N38">
        <f>Girdiler!$F$27*Girdiler!$F$26*Girdiler!$F$23*D38</f>
        <v/>
      </c>
    </row>
    <row r="39">
      <c r="A39" t="n">
        <v>37</v>
      </c>
      <c r="B39">
        <f>(0.1*Girdiler!$F$6)*((24*Girdiler!$F$6)/(0.1*Girdiler!$F$6))^(A39/60)</f>
        <v/>
      </c>
      <c r="C39">
        <f>(0.1*Girdiler!$F$6)*((24*Girdiler!$F$6)/(0.1*Girdiler!$F$6))^((A39+1)/60)</f>
        <v/>
      </c>
      <c r="D39">
        <f>SQRT(B39*C39)</f>
        <v/>
      </c>
      <c r="E39">
        <f>(NORMSDIST((LN(C39)-LN(Girdiler!$F$7*Girdiler!$F$6))/Girdiler!$F$8)-NORMSDIST((LN(B39)-LN(Girdiler!$F$7*Girdiler!$F$6))/Girdiler!$F$8))/(NORMSDIST((LN((24*Girdiler!$F$6))-LN(Girdiler!$F$7*Girdiler!$F$6))/Girdiler!$F$8)-NORMSDIST((LN((0.1*Girdiler!$F$6))-LN(Girdiler!$F$7*Girdiler!$F$6))/Girdiler!$F$8))</f>
        <v/>
      </c>
      <c r="F39">
        <f>(1-Girdiler!$F$13)*D39</f>
        <v/>
      </c>
      <c r="G39">
        <f>SUMPRODUCT((F39&gt;Girdiler!$D$47:$D$51)*(F39-Girdiler!$D$47:$D$51)*Girdiler!$C$47:$C$51)</f>
        <v/>
      </c>
      <c r="H39">
        <f>G39/D39</f>
        <v/>
      </c>
      <c r="I39">
        <f>Girdiler!$F$14*G39*(1-Girdiler!$F$16)*(1+Girdiler!$F$15)</f>
        <v/>
      </c>
      <c r="J39">
        <f>IF(D39&gt;=12*Girdiler!$F$6,Girdiler!$F$19*Girdiler!$F$18*Girdiler!$F$6*Girdiler!$F$17,0)</f>
        <v/>
      </c>
      <c r="K39">
        <f>Girdiler!$F$20*MIN(Girdiler!$F$22*G39,Girdiler!$F$21)</f>
        <v/>
      </c>
      <c r="L39">
        <f>SUMPRODUCT((Girdiler!$F$23*D39&gt;Girdiler!$D$47:$D$51)*(Girdiler!$F$23*D39-Girdiler!$D$47:$D$51)*Girdiler!$C$47:$C$51)</f>
        <v/>
      </c>
      <c r="M39">
        <f>Girdiler!$F$25*Girdiler!$F$24*(1-Girdiler!$F$11)</f>
        <v/>
      </c>
      <c r="N39">
        <f>Girdiler!$F$27*Girdiler!$F$26*Girdiler!$F$23*D39</f>
        <v/>
      </c>
    </row>
    <row r="40">
      <c r="A40" t="n">
        <v>38</v>
      </c>
      <c r="B40">
        <f>(0.1*Girdiler!$F$6)*((24*Girdiler!$F$6)/(0.1*Girdiler!$F$6))^(A40/60)</f>
        <v/>
      </c>
      <c r="C40">
        <f>(0.1*Girdiler!$F$6)*((24*Girdiler!$F$6)/(0.1*Girdiler!$F$6))^((A40+1)/60)</f>
        <v/>
      </c>
      <c r="D40">
        <f>SQRT(B40*C40)</f>
        <v/>
      </c>
      <c r="E40">
        <f>(NORMSDIST((LN(C40)-LN(Girdiler!$F$7*Girdiler!$F$6))/Girdiler!$F$8)-NORMSDIST((LN(B40)-LN(Girdiler!$F$7*Girdiler!$F$6))/Girdiler!$F$8))/(NORMSDIST((LN((24*Girdiler!$F$6))-LN(Girdiler!$F$7*Girdiler!$F$6))/Girdiler!$F$8)-NORMSDIST((LN((0.1*Girdiler!$F$6))-LN(Girdiler!$F$7*Girdiler!$F$6))/Girdiler!$F$8))</f>
        <v/>
      </c>
      <c r="F40">
        <f>(1-Girdiler!$F$13)*D40</f>
        <v/>
      </c>
      <c r="G40">
        <f>SUMPRODUCT((F40&gt;Girdiler!$D$47:$D$51)*(F40-Girdiler!$D$47:$D$51)*Girdiler!$C$47:$C$51)</f>
        <v/>
      </c>
      <c r="H40">
        <f>G40/D40</f>
        <v/>
      </c>
      <c r="I40">
        <f>Girdiler!$F$14*G40*(1-Girdiler!$F$16)*(1+Girdiler!$F$15)</f>
        <v/>
      </c>
      <c r="J40">
        <f>IF(D40&gt;=12*Girdiler!$F$6,Girdiler!$F$19*Girdiler!$F$18*Girdiler!$F$6*Girdiler!$F$17,0)</f>
        <v/>
      </c>
      <c r="K40">
        <f>Girdiler!$F$20*MIN(Girdiler!$F$22*G40,Girdiler!$F$21)</f>
        <v/>
      </c>
      <c r="L40">
        <f>SUMPRODUCT((Girdiler!$F$23*D40&gt;Girdiler!$D$47:$D$51)*(Girdiler!$F$23*D40-Girdiler!$D$47:$D$51)*Girdiler!$C$47:$C$51)</f>
        <v/>
      </c>
      <c r="M40">
        <f>Girdiler!$F$25*Girdiler!$F$24*(1-Girdiler!$F$11)</f>
        <v/>
      </c>
      <c r="N40">
        <f>Girdiler!$F$27*Girdiler!$F$26*Girdiler!$F$23*D40</f>
        <v/>
      </c>
    </row>
    <row r="41">
      <c r="A41" t="n">
        <v>39</v>
      </c>
      <c r="B41">
        <f>(0.1*Girdiler!$F$6)*((24*Girdiler!$F$6)/(0.1*Girdiler!$F$6))^(A41/60)</f>
        <v/>
      </c>
      <c r="C41">
        <f>(0.1*Girdiler!$F$6)*((24*Girdiler!$F$6)/(0.1*Girdiler!$F$6))^((A41+1)/60)</f>
        <v/>
      </c>
      <c r="D41">
        <f>SQRT(B41*C41)</f>
        <v/>
      </c>
      <c r="E41">
        <f>(NORMSDIST((LN(C41)-LN(Girdiler!$F$7*Girdiler!$F$6))/Girdiler!$F$8)-NORMSDIST((LN(B41)-LN(Girdiler!$F$7*Girdiler!$F$6))/Girdiler!$F$8))/(NORMSDIST((LN((24*Girdiler!$F$6))-LN(Girdiler!$F$7*Girdiler!$F$6))/Girdiler!$F$8)-NORMSDIST((LN((0.1*Girdiler!$F$6))-LN(Girdiler!$F$7*Girdiler!$F$6))/Girdiler!$F$8))</f>
        <v/>
      </c>
      <c r="F41">
        <f>(1-Girdiler!$F$13)*D41</f>
        <v/>
      </c>
      <c r="G41">
        <f>SUMPRODUCT((F41&gt;Girdiler!$D$47:$D$51)*(F41-Girdiler!$D$47:$D$51)*Girdiler!$C$47:$C$51)</f>
        <v/>
      </c>
      <c r="H41">
        <f>G41/D41</f>
        <v/>
      </c>
      <c r="I41">
        <f>Girdiler!$F$14*G41*(1-Girdiler!$F$16)*(1+Girdiler!$F$15)</f>
        <v/>
      </c>
      <c r="J41">
        <f>IF(D41&gt;=12*Girdiler!$F$6,Girdiler!$F$19*Girdiler!$F$18*Girdiler!$F$6*Girdiler!$F$17,0)</f>
        <v/>
      </c>
      <c r="K41">
        <f>Girdiler!$F$20*MIN(Girdiler!$F$22*G41,Girdiler!$F$21)</f>
        <v/>
      </c>
      <c r="L41">
        <f>SUMPRODUCT((Girdiler!$F$23*D41&gt;Girdiler!$D$47:$D$51)*(Girdiler!$F$23*D41-Girdiler!$D$47:$D$51)*Girdiler!$C$47:$C$51)</f>
        <v/>
      </c>
      <c r="M41">
        <f>Girdiler!$F$25*Girdiler!$F$24*(1-Girdiler!$F$11)</f>
        <v/>
      </c>
      <c r="N41">
        <f>Girdiler!$F$27*Girdiler!$F$26*Girdiler!$F$23*D41</f>
        <v/>
      </c>
    </row>
    <row r="42">
      <c r="A42" t="n">
        <v>40</v>
      </c>
      <c r="B42">
        <f>(0.1*Girdiler!$F$6)*((24*Girdiler!$F$6)/(0.1*Girdiler!$F$6))^(A42/60)</f>
        <v/>
      </c>
      <c r="C42">
        <f>(0.1*Girdiler!$F$6)*((24*Girdiler!$F$6)/(0.1*Girdiler!$F$6))^((A42+1)/60)</f>
        <v/>
      </c>
      <c r="D42">
        <f>SQRT(B42*C42)</f>
        <v/>
      </c>
      <c r="E42">
        <f>(NORMSDIST((LN(C42)-LN(Girdiler!$F$7*Girdiler!$F$6))/Girdiler!$F$8)-NORMSDIST((LN(B42)-LN(Girdiler!$F$7*Girdiler!$F$6))/Girdiler!$F$8))/(NORMSDIST((LN((24*Girdiler!$F$6))-LN(Girdiler!$F$7*Girdiler!$F$6))/Girdiler!$F$8)-NORMSDIST((LN((0.1*Girdiler!$F$6))-LN(Girdiler!$F$7*Girdiler!$F$6))/Girdiler!$F$8))</f>
        <v/>
      </c>
      <c r="F42">
        <f>(1-Girdiler!$F$13)*D42</f>
        <v/>
      </c>
      <c r="G42">
        <f>SUMPRODUCT((F42&gt;Girdiler!$D$47:$D$51)*(F42-Girdiler!$D$47:$D$51)*Girdiler!$C$47:$C$51)</f>
        <v/>
      </c>
      <c r="H42">
        <f>G42/D42</f>
        <v/>
      </c>
      <c r="I42">
        <f>Girdiler!$F$14*G42*(1-Girdiler!$F$16)*(1+Girdiler!$F$15)</f>
        <v/>
      </c>
      <c r="J42">
        <f>IF(D42&gt;=12*Girdiler!$F$6,Girdiler!$F$19*Girdiler!$F$18*Girdiler!$F$6*Girdiler!$F$17,0)</f>
        <v/>
      </c>
      <c r="K42">
        <f>Girdiler!$F$20*MIN(Girdiler!$F$22*G42,Girdiler!$F$21)</f>
        <v/>
      </c>
      <c r="L42">
        <f>SUMPRODUCT((Girdiler!$F$23*D42&gt;Girdiler!$D$47:$D$51)*(Girdiler!$F$23*D42-Girdiler!$D$47:$D$51)*Girdiler!$C$47:$C$51)</f>
        <v/>
      </c>
      <c r="M42">
        <f>Girdiler!$F$25*Girdiler!$F$24*(1-Girdiler!$F$11)</f>
        <v/>
      </c>
      <c r="N42">
        <f>Girdiler!$F$27*Girdiler!$F$26*Girdiler!$F$23*D42</f>
        <v/>
      </c>
    </row>
    <row r="43">
      <c r="A43" t="n">
        <v>41</v>
      </c>
      <c r="B43">
        <f>(0.1*Girdiler!$F$6)*((24*Girdiler!$F$6)/(0.1*Girdiler!$F$6))^(A43/60)</f>
        <v/>
      </c>
      <c r="C43">
        <f>(0.1*Girdiler!$F$6)*((24*Girdiler!$F$6)/(0.1*Girdiler!$F$6))^((A43+1)/60)</f>
        <v/>
      </c>
      <c r="D43">
        <f>SQRT(B43*C43)</f>
        <v/>
      </c>
      <c r="E43">
        <f>(NORMSDIST((LN(C43)-LN(Girdiler!$F$7*Girdiler!$F$6))/Girdiler!$F$8)-NORMSDIST((LN(B43)-LN(Girdiler!$F$7*Girdiler!$F$6))/Girdiler!$F$8))/(NORMSDIST((LN((24*Girdiler!$F$6))-LN(Girdiler!$F$7*Girdiler!$F$6))/Girdiler!$F$8)-NORMSDIST((LN((0.1*Girdiler!$F$6))-LN(Girdiler!$F$7*Girdiler!$F$6))/Girdiler!$F$8))</f>
        <v/>
      </c>
      <c r="F43">
        <f>(1-Girdiler!$F$13)*D43</f>
        <v/>
      </c>
      <c r="G43">
        <f>SUMPRODUCT((F43&gt;Girdiler!$D$47:$D$51)*(F43-Girdiler!$D$47:$D$51)*Girdiler!$C$47:$C$51)</f>
        <v/>
      </c>
      <c r="H43">
        <f>G43/D43</f>
        <v/>
      </c>
      <c r="I43">
        <f>Girdiler!$F$14*G43*(1-Girdiler!$F$16)*(1+Girdiler!$F$15)</f>
        <v/>
      </c>
      <c r="J43">
        <f>IF(D43&gt;=12*Girdiler!$F$6,Girdiler!$F$19*Girdiler!$F$18*Girdiler!$F$6*Girdiler!$F$17,0)</f>
        <v/>
      </c>
      <c r="K43">
        <f>Girdiler!$F$20*MIN(Girdiler!$F$22*G43,Girdiler!$F$21)</f>
        <v/>
      </c>
      <c r="L43">
        <f>SUMPRODUCT((Girdiler!$F$23*D43&gt;Girdiler!$D$47:$D$51)*(Girdiler!$F$23*D43-Girdiler!$D$47:$D$51)*Girdiler!$C$47:$C$51)</f>
        <v/>
      </c>
      <c r="M43">
        <f>Girdiler!$F$25*Girdiler!$F$24*(1-Girdiler!$F$11)</f>
        <v/>
      </c>
      <c r="N43">
        <f>Girdiler!$F$27*Girdiler!$F$26*Girdiler!$F$23*D43</f>
        <v/>
      </c>
    </row>
    <row r="44">
      <c r="A44" t="n">
        <v>42</v>
      </c>
      <c r="B44">
        <f>(0.1*Girdiler!$F$6)*((24*Girdiler!$F$6)/(0.1*Girdiler!$F$6))^(A44/60)</f>
        <v/>
      </c>
      <c r="C44">
        <f>(0.1*Girdiler!$F$6)*((24*Girdiler!$F$6)/(0.1*Girdiler!$F$6))^((A44+1)/60)</f>
        <v/>
      </c>
      <c r="D44">
        <f>SQRT(B44*C44)</f>
        <v/>
      </c>
      <c r="E44">
        <f>(NORMSDIST((LN(C44)-LN(Girdiler!$F$7*Girdiler!$F$6))/Girdiler!$F$8)-NORMSDIST((LN(B44)-LN(Girdiler!$F$7*Girdiler!$F$6))/Girdiler!$F$8))/(NORMSDIST((LN((24*Girdiler!$F$6))-LN(Girdiler!$F$7*Girdiler!$F$6))/Girdiler!$F$8)-NORMSDIST((LN((0.1*Girdiler!$F$6))-LN(Girdiler!$F$7*Girdiler!$F$6))/Girdiler!$F$8))</f>
        <v/>
      </c>
      <c r="F44">
        <f>(1-Girdiler!$F$13)*D44</f>
        <v/>
      </c>
      <c r="G44">
        <f>SUMPRODUCT((F44&gt;Girdiler!$D$47:$D$51)*(F44-Girdiler!$D$47:$D$51)*Girdiler!$C$47:$C$51)</f>
        <v/>
      </c>
      <c r="H44">
        <f>G44/D44</f>
        <v/>
      </c>
      <c r="I44">
        <f>Girdiler!$F$14*G44*(1-Girdiler!$F$16)*(1+Girdiler!$F$15)</f>
        <v/>
      </c>
      <c r="J44">
        <f>IF(D44&gt;=12*Girdiler!$F$6,Girdiler!$F$19*Girdiler!$F$18*Girdiler!$F$6*Girdiler!$F$17,0)</f>
        <v/>
      </c>
      <c r="K44">
        <f>Girdiler!$F$20*MIN(Girdiler!$F$22*G44,Girdiler!$F$21)</f>
        <v/>
      </c>
      <c r="L44">
        <f>SUMPRODUCT((Girdiler!$F$23*D44&gt;Girdiler!$D$47:$D$51)*(Girdiler!$F$23*D44-Girdiler!$D$47:$D$51)*Girdiler!$C$47:$C$51)</f>
        <v/>
      </c>
      <c r="M44">
        <f>Girdiler!$F$25*Girdiler!$F$24*(1-Girdiler!$F$11)</f>
        <v/>
      </c>
      <c r="N44">
        <f>Girdiler!$F$27*Girdiler!$F$26*Girdiler!$F$23*D44</f>
        <v/>
      </c>
    </row>
    <row r="45">
      <c r="A45" t="n">
        <v>43</v>
      </c>
      <c r="B45">
        <f>(0.1*Girdiler!$F$6)*((24*Girdiler!$F$6)/(0.1*Girdiler!$F$6))^(A45/60)</f>
        <v/>
      </c>
      <c r="C45">
        <f>(0.1*Girdiler!$F$6)*((24*Girdiler!$F$6)/(0.1*Girdiler!$F$6))^((A45+1)/60)</f>
        <v/>
      </c>
      <c r="D45">
        <f>SQRT(B45*C45)</f>
        <v/>
      </c>
      <c r="E45">
        <f>(NORMSDIST((LN(C45)-LN(Girdiler!$F$7*Girdiler!$F$6))/Girdiler!$F$8)-NORMSDIST((LN(B45)-LN(Girdiler!$F$7*Girdiler!$F$6))/Girdiler!$F$8))/(NORMSDIST((LN((24*Girdiler!$F$6))-LN(Girdiler!$F$7*Girdiler!$F$6))/Girdiler!$F$8)-NORMSDIST((LN((0.1*Girdiler!$F$6))-LN(Girdiler!$F$7*Girdiler!$F$6))/Girdiler!$F$8))</f>
        <v/>
      </c>
      <c r="F45">
        <f>(1-Girdiler!$F$13)*D45</f>
        <v/>
      </c>
      <c r="G45">
        <f>SUMPRODUCT((F45&gt;Girdiler!$D$47:$D$51)*(F45-Girdiler!$D$47:$D$51)*Girdiler!$C$47:$C$51)</f>
        <v/>
      </c>
      <c r="H45">
        <f>G45/D45</f>
        <v/>
      </c>
      <c r="I45">
        <f>Girdiler!$F$14*G45*(1-Girdiler!$F$16)*(1+Girdiler!$F$15)</f>
        <v/>
      </c>
      <c r="J45">
        <f>IF(D45&gt;=12*Girdiler!$F$6,Girdiler!$F$19*Girdiler!$F$18*Girdiler!$F$6*Girdiler!$F$17,0)</f>
        <v/>
      </c>
      <c r="K45">
        <f>Girdiler!$F$20*MIN(Girdiler!$F$22*G45,Girdiler!$F$21)</f>
        <v/>
      </c>
      <c r="L45">
        <f>SUMPRODUCT((Girdiler!$F$23*D45&gt;Girdiler!$D$47:$D$51)*(Girdiler!$F$23*D45-Girdiler!$D$47:$D$51)*Girdiler!$C$47:$C$51)</f>
        <v/>
      </c>
      <c r="M45">
        <f>Girdiler!$F$25*Girdiler!$F$24*(1-Girdiler!$F$11)</f>
        <v/>
      </c>
      <c r="N45">
        <f>Girdiler!$F$27*Girdiler!$F$26*Girdiler!$F$23*D45</f>
        <v/>
      </c>
    </row>
    <row r="46">
      <c r="A46" t="n">
        <v>44</v>
      </c>
      <c r="B46">
        <f>(0.1*Girdiler!$F$6)*((24*Girdiler!$F$6)/(0.1*Girdiler!$F$6))^(A46/60)</f>
        <v/>
      </c>
      <c r="C46">
        <f>(0.1*Girdiler!$F$6)*((24*Girdiler!$F$6)/(0.1*Girdiler!$F$6))^((A46+1)/60)</f>
        <v/>
      </c>
      <c r="D46">
        <f>SQRT(B46*C46)</f>
        <v/>
      </c>
      <c r="E46">
        <f>(NORMSDIST((LN(C46)-LN(Girdiler!$F$7*Girdiler!$F$6))/Girdiler!$F$8)-NORMSDIST((LN(B46)-LN(Girdiler!$F$7*Girdiler!$F$6))/Girdiler!$F$8))/(NORMSDIST((LN((24*Girdiler!$F$6))-LN(Girdiler!$F$7*Girdiler!$F$6))/Girdiler!$F$8)-NORMSDIST((LN((0.1*Girdiler!$F$6))-LN(Girdiler!$F$7*Girdiler!$F$6))/Girdiler!$F$8))</f>
        <v/>
      </c>
      <c r="F46">
        <f>(1-Girdiler!$F$13)*D46</f>
        <v/>
      </c>
      <c r="G46">
        <f>SUMPRODUCT((F46&gt;Girdiler!$D$47:$D$51)*(F46-Girdiler!$D$47:$D$51)*Girdiler!$C$47:$C$51)</f>
        <v/>
      </c>
      <c r="H46">
        <f>G46/D46</f>
        <v/>
      </c>
      <c r="I46">
        <f>Girdiler!$F$14*G46*(1-Girdiler!$F$16)*(1+Girdiler!$F$15)</f>
        <v/>
      </c>
      <c r="J46">
        <f>IF(D46&gt;=12*Girdiler!$F$6,Girdiler!$F$19*Girdiler!$F$18*Girdiler!$F$6*Girdiler!$F$17,0)</f>
        <v/>
      </c>
      <c r="K46">
        <f>Girdiler!$F$20*MIN(Girdiler!$F$22*G46,Girdiler!$F$21)</f>
        <v/>
      </c>
      <c r="L46">
        <f>SUMPRODUCT((Girdiler!$F$23*D46&gt;Girdiler!$D$47:$D$51)*(Girdiler!$F$23*D46-Girdiler!$D$47:$D$51)*Girdiler!$C$47:$C$51)</f>
        <v/>
      </c>
      <c r="M46">
        <f>Girdiler!$F$25*Girdiler!$F$24*(1-Girdiler!$F$11)</f>
        <v/>
      </c>
      <c r="N46">
        <f>Girdiler!$F$27*Girdiler!$F$26*Girdiler!$F$23*D46</f>
        <v/>
      </c>
    </row>
    <row r="47">
      <c r="A47" t="n">
        <v>45</v>
      </c>
      <c r="B47">
        <f>(0.1*Girdiler!$F$6)*((24*Girdiler!$F$6)/(0.1*Girdiler!$F$6))^(A47/60)</f>
        <v/>
      </c>
      <c r="C47">
        <f>(0.1*Girdiler!$F$6)*((24*Girdiler!$F$6)/(0.1*Girdiler!$F$6))^((A47+1)/60)</f>
        <v/>
      </c>
      <c r="D47">
        <f>SQRT(B47*C47)</f>
        <v/>
      </c>
      <c r="E47">
        <f>(NORMSDIST((LN(C47)-LN(Girdiler!$F$7*Girdiler!$F$6))/Girdiler!$F$8)-NORMSDIST((LN(B47)-LN(Girdiler!$F$7*Girdiler!$F$6))/Girdiler!$F$8))/(NORMSDIST((LN((24*Girdiler!$F$6))-LN(Girdiler!$F$7*Girdiler!$F$6))/Girdiler!$F$8)-NORMSDIST((LN((0.1*Girdiler!$F$6))-LN(Girdiler!$F$7*Girdiler!$F$6))/Girdiler!$F$8))</f>
        <v/>
      </c>
      <c r="F47">
        <f>(1-Girdiler!$F$13)*D47</f>
        <v/>
      </c>
      <c r="G47">
        <f>SUMPRODUCT((F47&gt;Girdiler!$D$47:$D$51)*(F47-Girdiler!$D$47:$D$51)*Girdiler!$C$47:$C$51)</f>
        <v/>
      </c>
      <c r="H47">
        <f>G47/D47</f>
        <v/>
      </c>
      <c r="I47">
        <f>Girdiler!$F$14*G47*(1-Girdiler!$F$16)*(1+Girdiler!$F$15)</f>
        <v/>
      </c>
      <c r="J47">
        <f>IF(D47&gt;=12*Girdiler!$F$6,Girdiler!$F$19*Girdiler!$F$18*Girdiler!$F$6*Girdiler!$F$17,0)</f>
        <v/>
      </c>
      <c r="K47">
        <f>Girdiler!$F$20*MIN(Girdiler!$F$22*G47,Girdiler!$F$21)</f>
        <v/>
      </c>
      <c r="L47">
        <f>SUMPRODUCT((Girdiler!$F$23*D47&gt;Girdiler!$D$47:$D$51)*(Girdiler!$F$23*D47-Girdiler!$D$47:$D$51)*Girdiler!$C$47:$C$51)</f>
        <v/>
      </c>
      <c r="M47">
        <f>Girdiler!$F$25*Girdiler!$F$24*(1-Girdiler!$F$11)</f>
        <v/>
      </c>
      <c r="N47">
        <f>Girdiler!$F$27*Girdiler!$F$26*Girdiler!$F$23*D47</f>
        <v/>
      </c>
    </row>
    <row r="48">
      <c r="A48" t="n">
        <v>46</v>
      </c>
      <c r="B48">
        <f>(0.1*Girdiler!$F$6)*((24*Girdiler!$F$6)/(0.1*Girdiler!$F$6))^(A48/60)</f>
        <v/>
      </c>
      <c r="C48">
        <f>(0.1*Girdiler!$F$6)*((24*Girdiler!$F$6)/(0.1*Girdiler!$F$6))^((A48+1)/60)</f>
        <v/>
      </c>
      <c r="D48">
        <f>SQRT(B48*C48)</f>
        <v/>
      </c>
      <c r="E48">
        <f>(NORMSDIST((LN(C48)-LN(Girdiler!$F$7*Girdiler!$F$6))/Girdiler!$F$8)-NORMSDIST((LN(B48)-LN(Girdiler!$F$7*Girdiler!$F$6))/Girdiler!$F$8))/(NORMSDIST((LN((24*Girdiler!$F$6))-LN(Girdiler!$F$7*Girdiler!$F$6))/Girdiler!$F$8)-NORMSDIST((LN((0.1*Girdiler!$F$6))-LN(Girdiler!$F$7*Girdiler!$F$6))/Girdiler!$F$8))</f>
        <v/>
      </c>
      <c r="F48">
        <f>(1-Girdiler!$F$13)*D48</f>
        <v/>
      </c>
      <c r="G48">
        <f>SUMPRODUCT((F48&gt;Girdiler!$D$47:$D$51)*(F48-Girdiler!$D$47:$D$51)*Girdiler!$C$47:$C$51)</f>
        <v/>
      </c>
      <c r="H48">
        <f>G48/D48</f>
        <v/>
      </c>
      <c r="I48">
        <f>Girdiler!$F$14*G48*(1-Girdiler!$F$16)*(1+Girdiler!$F$15)</f>
        <v/>
      </c>
      <c r="J48">
        <f>IF(D48&gt;=12*Girdiler!$F$6,Girdiler!$F$19*Girdiler!$F$18*Girdiler!$F$6*Girdiler!$F$17,0)</f>
        <v/>
      </c>
      <c r="K48">
        <f>Girdiler!$F$20*MIN(Girdiler!$F$22*G48,Girdiler!$F$21)</f>
        <v/>
      </c>
      <c r="L48">
        <f>SUMPRODUCT((Girdiler!$F$23*D48&gt;Girdiler!$D$47:$D$51)*(Girdiler!$F$23*D48-Girdiler!$D$47:$D$51)*Girdiler!$C$47:$C$51)</f>
        <v/>
      </c>
      <c r="M48">
        <f>Girdiler!$F$25*Girdiler!$F$24*(1-Girdiler!$F$11)</f>
        <v/>
      </c>
      <c r="N48">
        <f>Girdiler!$F$27*Girdiler!$F$26*Girdiler!$F$23*D48</f>
        <v/>
      </c>
    </row>
    <row r="49">
      <c r="A49" t="n">
        <v>47</v>
      </c>
      <c r="B49">
        <f>(0.1*Girdiler!$F$6)*((24*Girdiler!$F$6)/(0.1*Girdiler!$F$6))^(A49/60)</f>
        <v/>
      </c>
      <c r="C49">
        <f>(0.1*Girdiler!$F$6)*((24*Girdiler!$F$6)/(0.1*Girdiler!$F$6))^((A49+1)/60)</f>
        <v/>
      </c>
      <c r="D49">
        <f>SQRT(B49*C49)</f>
        <v/>
      </c>
      <c r="E49">
        <f>(NORMSDIST((LN(C49)-LN(Girdiler!$F$7*Girdiler!$F$6))/Girdiler!$F$8)-NORMSDIST((LN(B49)-LN(Girdiler!$F$7*Girdiler!$F$6))/Girdiler!$F$8))/(NORMSDIST((LN((24*Girdiler!$F$6))-LN(Girdiler!$F$7*Girdiler!$F$6))/Girdiler!$F$8)-NORMSDIST((LN((0.1*Girdiler!$F$6))-LN(Girdiler!$F$7*Girdiler!$F$6))/Girdiler!$F$8))</f>
        <v/>
      </c>
      <c r="F49">
        <f>(1-Girdiler!$F$13)*D49</f>
        <v/>
      </c>
      <c r="G49">
        <f>SUMPRODUCT((F49&gt;Girdiler!$D$47:$D$51)*(F49-Girdiler!$D$47:$D$51)*Girdiler!$C$47:$C$51)</f>
        <v/>
      </c>
      <c r="H49">
        <f>G49/D49</f>
        <v/>
      </c>
      <c r="I49">
        <f>Girdiler!$F$14*G49*(1-Girdiler!$F$16)*(1+Girdiler!$F$15)</f>
        <v/>
      </c>
      <c r="J49">
        <f>IF(D49&gt;=12*Girdiler!$F$6,Girdiler!$F$19*Girdiler!$F$18*Girdiler!$F$6*Girdiler!$F$17,0)</f>
        <v/>
      </c>
      <c r="K49">
        <f>Girdiler!$F$20*MIN(Girdiler!$F$22*G49,Girdiler!$F$21)</f>
        <v/>
      </c>
      <c r="L49">
        <f>SUMPRODUCT((Girdiler!$F$23*D49&gt;Girdiler!$D$47:$D$51)*(Girdiler!$F$23*D49-Girdiler!$D$47:$D$51)*Girdiler!$C$47:$C$51)</f>
        <v/>
      </c>
      <c r="M49">
        <f>Girdiler!$F$25*Girdiler!$F$24*(1-Girdiler!$F$11)</f>
        <v/>
      </c>
      <c r="N49">
        <f>Girdiler!$F$27*Girdiler!$F$26*Girdiler!$F$23*D49</f>
        <v/>
      </c>
    </row>
    <row r="50">
      <c r="A50" t="n">
        <v>48</v>
      </c>
      <c r="B50">
        <f>(0.1*Girdiler!$F$6)*((24*Girdiler!$F$6)/(0.1*Girdiler!$F$6))^(A50/60)</f>
        <v/>
      </c>
      <c r="C50">
        <f>(0.1*Girdiler!$F$6)*((24*Girdiler!$F$6)/(0.1*Girdiler!$F$6))^((A50+1)/60)</f>
        <v/>
      </c>
      <c r="D50">
        <f>SQRT(B50*C50)</f>
        <v/>
      </c>
      <c r="E50">
        <f>(NORMSDIST((LN(C50)-LN(Girdiler!$F$7*Girdiler!$F$6))/Girdiler!$F$8)-NORMSDIST((LN(B50)-LN(Girdiler!$F$7*Girdiler!$F$6))/Girdiler!$F$8))/(NORMSDIST((LN((24*Girdiler!$F$6))-LN(Girdiler!$F$7*Girdiler!$F$6))/Girdiler!$F$8)-NORMSDIST((LN((0.1*Girdiler!$F$6))-LN(Girdiler!$F$7*Girdiler!$F$6))/Girdiler!$F$8))</f>
        <v/>
      </c>
      <c r="F50">
        <f>(1-Girdiler!$F$13)*D50</f>
        <v/>
      </c>
      <c r="G50">
        <f>SUMPRODUCT((F50&gt;Girdiler!$D$47:$D$51)*(F50-Girdiler!$D$47:$D$51)*Girdiler!$C$47:$C$51)</f>
        <v/>
      </c>
      <c r="H50">
        <f>G50/D50</f>
        <v/>
      </c>
      <c r="I50">
        <f>Girdiler!$F$14*G50*(1-Girdiler!$F$16)*(1+Girdiler!$F$15)</f>
        <v/>
      </c>
      <c r="J50">
        <f>IF(D50&gt;=12*Girdiler!$F$6,Girdiler!$F$19*Girdiler!$F$18*Girdiler!$F$6*Girdiler!$F$17,0)</f>
        <v/>
      </c>
      <c r="K50">
        <f>Girdiler!$F$20*MIN(Girdiler!$F$22*G50,Girdiler!$F$21)</f>
        <v/>
      </c>
      <c r="L50">
        <f>SUMPRODUCT((Girdiler!$F$23*D50&gt;Girdiler!$D$47:$D$51)*(Girdiler!$F$23*D50-Girdiler!$D$47:$D$51)*Girdiler!$C$47:$C$51)</f>
        <v/>
      </c>
      <c r="M50">
        <f>Girdiler!$F$25*Girdiler!$F$24*(1-Girdiler!$F$11)</f>
        <v/>
      </c>
      <c r="N50">
        <f>Girdiler!$F$27*Girdiler!$F$26*Girdiler!$F$23*D50</f>
        <v/>
      </c>
    </row>
    <row r="51">
      <c r="A51" t="n">
        <v>49</v>
      </c>
      <c r="B51">
        <f>(0.1*Girdiler!$F$6)*((24*Girdiler!$F$6)/(0.1*Girdiler!$F$6))^(A51/60)</f>
        <v/>
      </c>
      <c r="C51">
        <f>(0.1*Girdiler!$F$6)*((24*Girdiler!$F$6)/(0.1*Girdiler!$F$6))^((A51+1)/60)</f>
        <v/>
      </c>
      <c r="D51">
        <f>SQRT(B51*C51)</f>
        <v/>
      </c>
      <c r="E51">
        <f>(NORMSDIST((LN(C51)-LN(Girdiler!$F$7*Girdiler!$F$6))/Girdiler!$F$8)-NORMSDIST((LN(B51)-LN(Girdiler!$F$7*Girdiler!$F$6))/Girdiler!$F$8))/(NORMSDIST((LN((24*Girdiler!$F$6))-LN(Girdiler!$F$7*Girdiler!$F$6))/Girdiler!$F$8)-NORMSDIST((LN((0.1*Girdiler!$F$6))-LN(Girdiler!$F$7*Girdiler!$F$6))/Girdiler!$F$8))</f>
        <v/>
      </c>
      <c r="F51">
        <f>(1-Girdiler!$F$13)*D51</f>
        <v/>
      </c>
      <c r="G51">
        <f>SUMPRODUCT((F51&gt;Girdiler!$D$47:$D$51)*(F51-Girdiler!$D$47:$D$51)*Girdiler!$C$47:$C$51)</f>
        <v/>
      </c>
      <c r="H51">
        <f>G51/D51</f>
        <v/>
      </c>
      <c r="I51">
        <f>Girdiler!$F$14*G51*(1-Girdiler!$F$16)*(1+Girdiler!$F$15)</f>
        <v/>
      </c>
      <c r="J51">
        <f>IF(D51&gt;=12*Girdiler!$F$6,Girdiler!$F$19*Girdiler!$F$18*Girdiler!$F$6*Girdiler!$F$17,0)</f>
        <v/>
      </c>
      <c r="K51">
        <f>Girdiler!$F$20*MIN(Girdiler!$F$22*G51,Girdiler!$F$21)</f>
        <v/>
      </c>
      <c r="L51">
        <f>SUMPRODUCT((Girdiler!$F$23*D51&gt;Girdiler!$D$47:$D$51)*(Girdiler!$F$23*D51-Girdiler!$D$47:$D$51)*Girdiler!$C$47:$C$51)</f>
        <v/>
      </c>
      <c r="M51">
        <f>Girdiler!$F$25*Girdiler!$F$24*(1-Girdiler!$F$11)</f>
        <v/>
      </c>
      <c r="N51">
        <f>Girdiler!$F$27*Girdiler!$F$26*Girdiler!$F$23*D51</f>
        <v/>
      </c>
    </row>
    <row r="52">
      <c r="A52" t="n">
        <v>50</v>
      </c>
      <c r="B52">
        <f>(0.1*Girdiler!$F$6)*((24*Girdiler!$F$6)/(0.1*Girdiler!$F$6))^(A52/60)</f>
        <v/>
      </c>
      <c r="C52">
        <f>(0.1*Girdiler!$F$6)*((24*Girdiler!$F$6)/(0.1*Girdiler!$F$6))^((A52+1)/60)</f>
        <v/>
      </c>
      <c r="D52">
        <f>SQRT(B52*C52)</f>
        <v/>
      </c>
      <c r="E52">
        <f>(NORMSDIST((LN(C52)-LN(Girdiler!$F$7*Girdiler!$F$6))/Girdiler!$F$8)-NORMSDIST((LN(B52)-LN(Girdiler!$F$7*Girdiler!$F$6))/Girdiler!$F$8))/(NORMSDIST((LN((24*Girdiler!$F$6))-LN(Girdiler!$F$7*Girdiler!$F$6))/Girdiler!$F$8)-NORMSDIST((LN((0.1*Girdiler!$F$6))-LN(Girdiler!$F$7*Girdiler!$F$6))/Girdiler!$F$8))</f>
        <v/>
      </c>
      <c r="F52">
        <f>(1-Girdiler!$F$13)*D52</f>
        <v/>
      </c>
      <c r="G52">
        <f>SUMPRODUCT((F52&gt;Girdiler!$D$47:$D$51)*(F52-Girdiler!$D$47:$D$51)*Girdiler!$C$47:$C$51)</f>
        <v/>
      </c>
      <c r="H52">
        <f>G52/D52</f>
        <v/>
      </c>
      <c r="I52">
        <f>Girdiler!$F$14*G52*(1-Girdiler!$F$16)*(1+Girdiler!$F$15)</f>
        <v/>
      </c>
      <c r="J52">
        <f>IF(D52&gt;=12*Girdiler!$F$6,Girdiler!$F$19*Girdiler!$F$18*Girdiler!$F$6*Girdiler!$F$17,0)</f>
        <v/>
      </c>
      <c r="K52">
        <f>Girdiler!$F$20*MIN(Girdiler!$F$22*G52,Girdiler!$F$21)</f>
        <v/>
      </c>
      <c r="L52">
        <f>SUMPRODUCT((Girdiler!$F$23*D52&gt;Girdiler!$D$47:$D$51)*(Girdiler!$F$23*D52-Girdiler!$D$47:$D$51)*Girdiler!$C$47:$C$51)</f>
        <v/>
      </c>
      <c r="M52">
        <f>Girdiler!$F$25*Girdiler!$F$24*(1-Girdiler!$F$11)</f>
        <v/>
      </c>
      <c r="N52">
        <f>Girdiler!$F$27*Girdiler!$F$26*Girdiler!$F$23*D52</f>
        <v/>
      </c>
    </row>
    <row r="53">
      <c r="A53" t="n">
        <v>51</v>
      </c>
      <c r="B53">
        <f>(0.1*Girdiler!$F$6)*((24*Girdiler!$F$6)/(0.1*Girdiler!$F$6))^(A53/60)</f>
        <v/>
      </c>
      <c r="C53">
        <f>(0.1*Girdiler!$F$6)*((24*Girdiler!$F$6)/(0.1*Girdiler!$F$6))^((A53+1)/60)</f>
        <v/>
      </c>
      <c r="D53">
        <f>SQRT(B53*C53)</f>
        <v/>
      </c>
      <c r="E53">
        <f>(NORMSDIST((LN(C53)-LN(Girdiler!$F$7*Girdiler!$F$6))/Girdiler!$F$8)-NORMSDIST((LN(B53)-LN(Girdiler!$F$7*Girdiler!$F$6))/Girdiler!$F$8))/(NORMSDIST((LN((24*Girdiler!$F$6))-LN(Girdiler!$F$7*Girdiler!$F$6))/Girdiler!$F$8)-NORMSDIST((LN((0.1*Girdiler!$F$6))-LN(Girdiler!$F$7*Girdiler!$F$6))/Girdiler!$F$8))</f>
        <v/>
      </c>
      <c r="F53">
        <f>(1-Girdiler!$F$13)*D53</f>
        <v/>
      </c>
      <c r="G53">
        <f>SUMPRODUCT((F53&gt;Girdiler!$D$47:$D$51)*(F53-Girdiler!$D$47:$D$51)*Girdiler!$C$47:$C$51)</f>
        <v/>
      </c>
      <c r="H53">
        <f>G53/D53</f>
        <v/>
      </c>
      <c r="I53">
        <f>Girdiler!$F$14*G53*(1-Girdiler!$F$16)*(1+Girdiler!$F$15)</f>
        <v/>
      </c>
      <c r="J53">
        <f>IF(D53&gt;=12*Girdiler!$F$6,Girdiler!$F$19*Girdiler!$F$18*Girdiler!$F$6*Girdiler!$F$17,0)</f>
        <v/>
      </c>
      <c r="K53">
        <f>Girdiler!$F$20*MIN(Girdiler!$F$22*G53,Girdiler!$F$21)</f>
        <v/>
      </c>
      <c r="L53">
        <f>SUMPRODUCT((Girdiler!$F$23*D53&gt;Girdiler!$D$47:$D$51)*(Girdiler!$F$23*D53-Girdiler!$D$47:$D$51)*Girdiler!$C$47:$C$51)</f>
        <v/>
      </c>
      <c r="M53">
        <f>Girdiler!$F$25*Girdiler!$F$24*(1-Girdiler!$F$11)</f>
        <v/>
      </c>
      <c r="N53">
        <f>Girdiler!$F$27*Girdiler!$F$26*Girdiler!$F$23*D53</f>
        <v/>
      </c>
    </row>
    <row r="54">
      <c r="A54" t="n">
        <v>52</v>
      </c>
      <c r="B54">
        <f>(0.1*Girdiler!$F$6)*((24*Girdiler!$F$6)/(0.1*Girdiler!$F$6))^(A54/60)</f>
        <v/>
      </c>
      <c r="C54">
        <f>(0.1*Girdiler!$F$6)*((24*Girdiler!$F$6)/(0.1*Girdiler!$F$6))^((A54+1)/60)</f>
        <v/>
      </c>
      <c r="D54">
        <f>SQRT(B54*C54)</f>
        <v/>
      </c>
      <c r="E54">
        <f>(NORMSDIST((LN(C54)-LN(Girdiler!$F$7*Girdiler!$F$6))/Girdiler!$F$8)-NORMSDIST((LN(B54)-LN(Girdiler!$F$7*Girdiler!$F$6))/Girdiler!$F$8))/(NORMSDIST((LN((24*Girdiler!$F$6))-LN(Girdiler!$F$7*Girdiler!$F$6))/Girdiler!$F$8)-NORMSDIST((LN((0.1*Girdiler!$F$6))-LN(Girdiler!$F$7*Girdiler!$F$6))/Girdiler!$F$8))</f>
        <v/>
      </c>
      <c r="F54">
        <f>(1-Girdiler!$F$13)*D54</f>
        <v/>
      </c>
      <c r="G54">
        <f>SUMPRODUCT((F54&gt;Girdiler!$D$47:$D$51)*(F54-Girdiler!$D$47:$D$51)*Girdiler!$C$47:$C$51)</f>
        <v/>
      </c>
      <c r="H54">
        <f>G54/D54</f>
        <v/>
      </c>
      <c r="I54">
        <f>Girdiler!$F$14*G54*(1-Girdiler!$F$16)*(1+Girdiler!$F$15)</f>
        <v/>
      </c>
      <c r="J54">
        <f>IF(D54&gt;=12*Girdiler!$F$6,Girdiler!$F$19*Girdiler!$F$18*Girdiler!$F$6*Girdiler!$F$17,0)</f>
        <v/>
      </c>
      <c r="K54">
        <f>Girdiler!$F$20*MIN(Girdiler!$F$22*G54,Girdiler!$F$21)</f>
        <v/>
      </c>
      <c r="L54">
        <f>SUMPRODUCT((Girdiler!$F$23*D54&gt;Girdiler!$D$47:$D$51)*(Girdiler!$F$23*D54-Girdiler!$D$47:$D$51)*Girdiler!$C$47:$C$51)</f>
        <v/>
      </c>
      <c r="M54">
        <f>Girdiler!$F$25*Girdiler!$F$24*(1-Girdiler!$F$11)</f>
        <v/>
      </c>
      <c r="N54">
        <f>Girdiler!$F$27*Girdiler!$F$26*Girdiler!$F$23*D54</f>
        <v/>
      </c>
    </row>
    <row r="55">
      <c r="A55" t="n">
        <v>53</v>
      </c>
      <c r="B55">
        <f>(0.1*Girdiler!$F$6)*((24*Girdiler!$F$6)/(0.1*Girdiler!$F$6))^(A55/60)</f>
        <v/>
      </c>
      <c r="C55">
        <f>(0.1*Girdiler!$F$6)*((24*Girdiler!$F$6)/(0.1*Girdiler!$F$6))^((A55+1)/60)</f>
        <v/>
      </c>
      <c r="D55">
        <f>SQRT(B55*C55)</f>
        <v/>
      </c>
      <c r="E55">
        <f>(NORMSDIST((LN(C55)-LN(Girdiler!$F$7*Girdiler!$F$6))/Girdiler!$F$8)-NORMSDIST((LN(B55)-LN(Girdiler!$F$7*Girdiler!$F$6))/Girdiler!$F$8))/(NORMSDIST((LN((24*Girdiler!$F$6))-LN(Girdiler!$F$7*Girdiler!$F$6))/Girdiler!$F$8)-NORMSDIST((LN((0.1*Girdiler!$F$6))-LN(Girdiler!$F$7*Girdiler!$F$6))/Girdiler!$F$8))</f>
        <v/>
      </c>
      <c r="F55">
        <f>(1-Girdiler!$F$13)*D55</f>
        <v/>
      </c>
      <c r="G55">
        <f>SUMPRODUCT((F55&gt;Girdiler!$D$47:$D$51)*(F55-Girdiler!$D$47:$D$51)*Girdiler!$C$47:$C$51)</f>
        <v/>
      </c>
      <c r="H55">
        <f>G55/D55</f>
        <v/>
      </c>
      <c r="I55">
        <f>Girdiler!$F$14*G55*(1-Girdiler!$F$16)*(1+Girdiler!$F$15)</f>
        <v/>
      </c>
      <c r="J55">
        <f>IF(D55&gt;=12*Girdiler!$F$6,Girdiler!$F$19*Girdiler!$F$18*Girdiler!$F$6*Girdiler!$F$17,0)</f>
        <v/>
      </c>
      <c r="K55">
        <f>Girdiler!$F$20*MIN(Girdiler!$F$22*G55,Girdiler!$F$21)</f>
        <v/>
      </c>
      <c r="L55">
        <f>SUMPRODUCT((Girdiler!$F$23*D55&gt;Girdiler!$D$47:$D$51)*(Girdiler!$F$23*D55-Girdiler!$D$47:$D$51)*Girdiler!$C$47:$C$51)</f>
        <v/>
      </c>
      <c r="M55">
        <f>Girdiler!$F$25*Girdiler!$F$24*(1-Girdiler!$F$11)</f>
        <v/>
      </c>
      <c r="N55">
        <f>Girdiler!$F$27*Girdiler!$F$26*Girdiler!$F$23*D55</f>
        <v/>
      </c>
    </row>
    <row r="56">
      <c r="A56" t="n">
        <v>54</v>
      </c>
      <c r="B56">
        <f>(0.1*Girdiler!$F$6)*((24*Girdiler!$F$6)/(0.1*Girdiler!$F$6))^(A56/60)</f>
        <v/>
      </c>
      <c r="C56">
        <f>(0.1*Girdiler!$F$6)*((24*Girdiler!$F$6)/(0.1*Girdiler!$F$6))^((A56+1)/60)</f>
        <v/>
      </c>
      <c r="D56">
        <f>SQRT(B56*C56)</f>
        <v/>
      </c>
      <c r="E56">
        <f>(NORMSDIST((LN(C56)-LN(Girdiler!$F$7*Girdiler!$F$6))/Girdiler!$F$8)-NORMSDIST((LN(B56)-LN(Girdiler!$F$7*Girdiler!$F$6))/Girdiler!$F$8))/(NORMSDIST((LN((24*Girdiler!$F$6))-LN(Girdiler!$F$7*Girdiler!$F$6))/Girdiler!$F$8)-NORMSDIST((LN((0.1*Girdiler!$F$6))-LN(Girdiler!$F$7*Girdiler!$F$6))/Girdiler!$F$8))</f>
        <v/>
      </c>
      <c r="F56">
        <f>(1-Girdiler!$F$13)*D56</f>
        <v/>
      </c>
      <c r="G56">
        <f>SUMPRODUCT((F56&gt;Girdiler!$D$47:$D$51)*(F56-Girdiler!$D$47:$D$51)*Girdiler!$C$47:$C$51)</f>
        <v/>
      </c>
      <c r="H56">
        <f>G56/D56</f>
        <v/>
      </c>
      <c r="I56">
        <f>Girdiler!$F$14*G56*(1-Girdiler!$F$16)*(1+Girdiler!$F$15)</f>
        <v/>
      </c>
      <c r="J56">
        <f>IF(D56&gt;=12*Girdiler!$F$6,Girdiler!$F$19*Girdiler!$F$18*Girdiler!$F$6*Girdiler!$F$17,0)</f>
        <v/>
      </c>
      <c r="K56">
        <f>Girdiler!$F$20*MIN(Girdiler!$F$22*G56,Girdiler!$F$21)</f>
        <v/>
      </c>
      <c r="L56">
        <f>SUMPRODUCT((Girdiler!$F$23*D56&gt;Girdiler!$D$47:$D$51)*(Girdiler!$F$23*D56-Girdiler!$D$47:$D$51)*Girdiler!$C$47:$C$51)</f>
        <v/>
      </c>
      <c r="M56">
        <f>Girdiler!$F$25*Girdiler!$F$24*(1-Girdiler!$F$11)</f>
        <v/>
      </c>
      <c r="N56">
        <f>Girdiler!$F$27*Girdiler!$F$26*Girdiler!$F$23*D56</f>
        <v/>
      </c>
    </row>
    <row r="57">
      <c r="A57" t="n">
        <v>55</v>
      </c>
      <c r="B57">
        <f>(0.1*Girdiler!$F$6)*((24*Girdiler!$F$6)/(0.1*Girdiler!$F$6))^(A57/60)</f>
        <v/>
      </c>
      <c r="C57">
        <f>(0.1*Girdiler!$F$6)*((24*Girdiler!$F$6)/(0.1*Girdiler!$F$6))^((A57+1)/60)</f>
        <v/>
      </c>
      <c r="D57">
        <f>SQRT(B57*C57)</f>
        <v/>
      </c>
      <c r="E57">
        <f>(NORMSDIST((LN(C57)-LN(Girdiler!$F$7*Girdiler!$F$6))/Girdiler!$F$8)-NORMSDIST((LN(B57)-LN(Girdiler!$F$7*Girdiler!$F$6))/Girdiler!$F$8))/(NORMSDIST((LN((24*Girdiler!$F$6))-LN(Girdiler!$F$7*Girdiler!$F$6))/Girdiler!$F$8)-NORMSDIST((LN((0.1*Girdiler!$F$6))-LN(Girdiler!$F$7*Girdiler!$F$6))/Girdiler!$F$8))</f>
        <v/>
      </c>
      <c r="F57">
        <f>(1-Girdiler!$F$13)*D57</f>
        <v/>
      </c>
      <c r="G57">
        <f>SUMPRODUCT((F57&gt;Girdiler!$D$47:$D$51)*(F57-Girdiler!$D$47:$D$51)*Girdiler!$C$47:$C$51)</f>
        <v/>
      </c>
      <c r="H57">
        <f>G57/D57</f>
        <v/>
      </c>
      <c r="I57">
        <f>Girdiler!$F$14*G57*(1-Girdiler!$F$16)*(1+Girdiler!$F$15)</f>
        <v/>
      </c>
      <c r="J57">
        <f>IF(D57&gt;=12*Girdiler!$F$6,Girdiler!$F$19*Girdiler!$F$18*Girdiler!$F$6*Girdiler!$F$17,0)</f>
        <v/>
      </c>
      <c r="K57">
        <f>Girdiler!$F$20*MIN(Girdiler!$F$22*G57,Girdiler!$F$21)</f>
        <v/>
      </c>
      <c r="L57">
        <f>SUMPRODUCT((Girdiler!$F$23*D57&gt;Girdiler!$D$47:$D$51)*(Girdiler!$F$23*D57-Girdiler!$D$47:$D$51)*Girdiler!$C$47:$C$51)</f>
        <v/>
      </c>
      <c r="M57">
        <f>Girdiler!$F$25*Girdiler!$F$24*(1-Girdiler!$F$11)</f>
        <v/>
      </c>
      <c r="N57">
        <f>Girdiler!$F$27*Girdiler!$F$26*Girdiler!$F$23*D57</f>
        <v/>
      </c>
    </row>
    <row r="58">
      <c r="A58" t="n">
        <v>56</v>
      </c>
      <c r="B58">
        <f>(0.1*Girdiler!$F$6)*((24*Girdiler!$F$6)/(0.1*Girdiler!$F$6))^(A58/60)</f>
        <v/>
      </c>
      <c r="C58">
        <f>(0.1*Girdiler!$F$6)*((24*Girdiler!$F$6)/(0.1*Girdiler!$F$6))^((A58+1)/60)</f>
        <v/>
      </c>
      <c r="D58">
        <f>SQRT(B58*C58)</f>
        <v/>
      </c>
      <c r="E58">
        <f>(NORMSDIST((LN(C58)-LN(Girdiler!$F$7*Girdiler!$F$6))/Girdiler!$F$8)-NORMSDIST((LN(B58)-LN(Girdiler!$F$7*Girdiler!$F$6))/Girdiler!$F$8))/(NORMSDIST((LN((24*Girdiler!$F$6))-LN(Girdiler!$F$7*Girdiler!$F$6))/Girdiler!$F$8)-NORMSDIST((LN((0.1*Girdiler!$F$6))-LN(Girdiler!$F$7*Girdiler!$F$6))/Girdiler!$F$8))</f>
        <v/>
      </c>
      <c r="F58">
        <f>(1-Girdiler!$F$13)*D58</f>
        <v/>
      </c>
      <c r="G58">
        <f>SUMPRODUCT((F58&gt;Girdiler!$D$47:$D$51)*(F58-Girdiler!$D$47:$D$51)*Girdiler!$C$47:$C$51)</f>
        <v/>
      </c>
      <c r="H58">
        <f>G58/D58</f>
        <v/>
      </c>
      <c r="I58">
        <f>Girdiler!$F$14*G58*(1-Girdiler!$F$16)*(1+Girdiler!$F$15)</f>
        <v/>
      </c>
      <c r="J58">
        <f>IF(D58&gt;=12*Girdiler!$F$6,Girdiler!$F$19*Girdiler!$F$18*Girdiler!$F$6*Girdiler!$F$17,0)</f>
        <v/>
      </c>
      <c r="K58">
        <f>Girdiler!$F$20*MIN(Girdiler!$F$22*G58,Girdiler!$F$21)</f>
        <v/>
      </c>
      <c r="L58">
        <f>SUMPRODUCT((Girdiler!$F$23*D58&gt;Girdiler!$D$47:$D$51)*(Girdiler!$F$23*D58-Girdiler!$D$47:$D$51)*Girdiler!$C$47:$C$51)</f>
        <v/>
      </c>
      <c r="M58">
        <f>Girdiler!$F$25*Girdiler!$F$24*(1-Girdiler!$F$11)</f>
        <v/>
      </c>
      <c r="N58">
        <f>Girdiler!$F$27*Girdiler!$F$26*Girdiler!$F$23*D58</f>
        <v/>
      </c>
    </row>
    <row r="59">
      <c r="A59" t="n">
        <v>57</v>
      </c>
      <c r="B59">
        <f>(0.1*Girdiler!$F$6)*((24*Girdiler!$F$6)/(0.1*Girdiler!$F$6))^(A59/60)</f>
        <v/>
      </c>
      <c r="C59">
        <f>(0.1*Girdiler!$F$6)*((24*Girdiler!$F$6)/(0.1*Girdiler!$F$6))^((A59+1)/60)</f>
        <v/>
      </c>
      <c r="D59">
        <f>SQRT(B59*C59)</f>
        <v/>
      </c>
      <c r="E59">
        <f>(NORMSDIST((LN(C59)-LN(Girdiler!$F$7*Girdiler!$F$6))/Girdiler!$F$8)-NORMSDIST((LN(B59)-LN(Girdiler!$F$7*Girdiler!$F$6))/Girdiler!$F$8))/(NORMSDIST((LN((24*Girdiler!$F$6))-LN(Girdiler!$F$7*Girdiler!$F$6))/Girdiler!$F$8)-NORMSDIST((LN((0.1*Girdiler!$F$6))-LN(Girdiler!$F$7*Girdiler!$F$6))/Girdiler!$F$8))</f>
        <v/>
      </c>
      <c r="F59">
        <f>(1-Girdiler!$F$13)*D59</f>
        <v/>
      </c>
      <c r="G59">
        <f>SUMPRODUCT((F59&gt;Girdiler!$D$47:$D$51)*(F59-Girdiler!$D$47:$D$51)*Girdiler!$C$47:$C$51)</f>
        <v/>
      </c>
      <c r="H59">
        <f>G59/D59</f>
        <v/>
      </c>
      <c r="I59">
        <f>Girdiler!$F$14*G59*(1-Girdiler!$F$16)*(1+Girdiler!$F$15)</f>
        <v/>
      </c>
      <c r="J59">
        <f>IF(D59&gt;=12*Girdiler!$F$6,Girdiler!$F$19*Girdiler!$F$18*Girdiler!$F$6*Girdiler!$F$17,0)</f>
        <v/>
      </c>
      <c r="K59">
        <f>Girdiler!$F$20*MIN(Girdiler!$F$22*G59,Girdiler!$F$21)</f>
        <v/>
      </c>
      <c r="L59">
        <f>SUMPRODUCT((Girdiler!$F$23*D59&gt;Girdiler!$D$47:$D$51)*(Girdiler!$F$23*D59-Girdiler!$D$47:$D$51)*Girdiler!$C$47:$C$51)</f>
        <v/>
      </c>
      <c r="M59">
        <f>Girdiler!$F$25*Girdiler!$F$24*(1-Girdiler!$F$11)</f>
        <v/>
      </c>
      <c r="N59">
        <f>Girdiler!$F$27*Girdiler!$F$26*Girdiler!$F$23*D59</f>
        <v/>
      </c>
    </row>
    <row r="60">
      <c r="A60" t="n">
        <v>58</v>
      </c>
      <c r="B60">
        <f>(0.1*Girdiler!$F$6)*((24*Girdiler!$F$6)/(0.1*Girdiler!$F$6))^(A60/60)</f>
        <v/>
      </c>
      <c r="C60">
        <f>(0.1*Girdiler!$F$6)*((24*Girdiler!$F$6)/(0.1*Girdiler!$F$6))^((A60+1)/60)</f>
        <v/>
      </c>
      <c r="D60">
        <f>SQRT(B60*C60)</f>
        <v/>
      </c>
      <c r="E60">
        <f>(NORMSDIST((LN(C60)-LN(Girdiler!$F$7*Girdiler!$F$6))/Girdiler!$F$8)-NORMSDIST((LN(B60)-LN(Girdiler!$F$7*Girdiler!$F$6))/Girdiler!$F$8))/(NORMSDIST((LN((24*Girdiler!$F$6))-LN(Girdiler!$F$7*Girdiler!$F$6))/Girdiler!$F$8)-NORMSDIST((LN((0.1*Girdiler!$F$6))-LN(Girdiler!$F$7*Girdiler!$F$6))/Girdiler!$F$8))</f>
        <v/>
      </c>
      <c r="F60">
        <f>(1-Girdiler!$F$13)*D60</f>
        <v/>
      </c>
      <c r="G60">
        <f>SUMPRODUCT((F60&gt;Girdiler!$D$47:$D$51)*(F60-Girdiler!$D$47:$D$51)*Girdiler!$C$47:$C$51)</f>
        <v/>
      </c>
      <c r="H60">
        <f>G60/D60</f>
        <v/>
      </c>
      <c r="I60">
        <f>Girdiler!$F$14*G60*(1-Girdiler!$F$16)*(1+Girdiler!$F$15)</f>
        <v/>
      </c>
      <c r="J60">
        <f>IF(D60&gt;=12*Girdiler!$F$6,Girdiler!$F$19*Girdiler!$F$18*Girdiler!$F$6*Girdiler!$F$17,0)</f>
        <v/>
      </c>
      <c r="K60">
        <f>Girdiler!$F$20*MIN(Girdiler!$F$22*G60,Girdiler!$F$21)</f>
        <v/>
      </c>
      <c r="L60">
        <f>SUMPRODUCT((Girdiler!$F$23*D60&gt;Girdiler!$D$47:$D$51)*(Girdiler!$F$23*D60-Girdiler!$D$47:$D$51)*Girdiler!$C$47:$C$51)</f>
        <v/>
      </c>
      <c r="M60">
        <f>Girdiler!$F$25*Girdiler!$F$24*(1-Girdiler!$F$11)</f>
        <v/>
      </c>
      <c r="N60">
        <f>Girdiler!$F$27*Girdiler!$F$26*Girdiler!$F$23*D60</f>
        <v/>
      </c>
    </row>
    <row r="61">
      <c r="A61" t="n">
        <v>59</v>
      </c>
      <c r="B61">
        <f>(0.1*Girdiler!$F$6)*((24*Girdiler!$F$6)/(0.1*Girdiler!$F$6))^(A61/60)</f>
        <v/>
      </c>
      <c r="C61">
        <f>(0.1*Girdiler!$F$6)*((24*Girdiler!$F$6)/(0.1*Girdiler!$F$6))^((A61+1)/60)</f>
        <v/>
      </c>
      <c r="D61">
        <f>SQRT(B61*C61)</f>
        <v/>
      </c>
      <c r="E61">
        <f>(NORMSDIST((LN(C61)-LN(Girdiler!$F$7*Girdiler!$F$6))/Girdiler!$F$8)-NORMSDIST((LN(B61)-LN(Girdiler!$F$7*Girdiler!$F$6))/Girdiler!$F$8))/(NORMSDIST((LN((24*Girdiler!$F$6))-LN(Girdiler!$F$7*Girdiler!$F$6))/Girdiler!$F$8)-NORMSDIST((LN((0.1*Girdiler!$F$6))-LN(Girdiler!$F$7*Girdiler!$F$6))/Girdiler!$F$8))</f>
        <v/>
      </c>
      <c r="F61">
        <f>(1-Girdiler!$F$13)*D61</f>
        <v/>
      </c>
      <c r="G61">
        <f>SUMPRODUCT((F61&gt;Girdiler!$D$47:$D$51)*(F61-Girdiler!$D$47:$D$51)*Girdiler!$C$47:$C$51)</f>
        <v/>
      </c>
      <c r="H61">
        <f>G61/D61</f>
        <v/>
      </c>
      <c r="I61">
        <f>Girdiler!$F$14*G61*(1-Girdiler!$F$16)*(1+Girdiler!$F$15)</f>
        <v/>
      </c>
      <c r="J61">
        <f>IF(D61&gt;=12*Girdiler!$F$6,Girdiler!$F$19*Girdiler!$F$18*Girdiler!$F$6*Girdiler!$F$17,0)</f>
        <v/>
      </c>
      <c r="K61">
        <f>Girdiler!$F$20*MIN(Girdiler!$F$22*G61,Girdiler!$F$21)</f>
        <v/>
      </c>
      <c r="L61">
        <f>SUMPRODUCT((Girdiler!$F$23*D61&gt;Girdiler!$D$47:$D$51)*(Girdiler!$F$23*D61-Girdiler!$D$47:$D$51)*Girdiler!$C$47:$C$51)</f>
        <v/>
      </c>
      <c r="M61">
        <f>Girdiler!$F$25*Girdiler!$F$24*(1-Girdiler!$F$11)</f>
        <v/>
      </c>
      <c r="N61">
        <f>Girdiler!$F$27*Girdiler!$F$26*Girdiler!$F$23*D61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KARARLI DURUM (4. YIL) SONUÇLARI: aktif senaryo</t>
        </is>
      </c>
    </row>
    <row r="2">
      <c r="A2" t="inlineStr">
        <is>
          <t>Ort. hasılat (TL)</t>
        </is>
      </c>
      <c r="B2">
        <f>SUMPRODUCT(Hesap!$E$2:$E$61,Hesap!$D$2:$D$61)</f>
        <v/>
      </c>
    </row>
    <row r="3">
      <c r="A3" t="inlineStr">
        <is>
          <t>Ort. tevkifat (TL)</t>
        </is>
      </c>
      <c r="B3">
        <f>SUMPRODUCT(Hesap!$E$2:$E$61,Hesap!$G$2:$G$61)</f>
        <v/>
      </c>
    </row>
    <row r="4">
      <c r="A4" t="inlineStr">
        <is>
          <t>Etkin tevkifat oranı</t>
        </is>
      </c>
      <c r="B4">
        <f>B3/B2</f>
        <v/>
      </c>
    </row>
    <row r="5">
      <c r="A5" t="inlineStr">
        <is>
          <t>Katılımcı (kişi)</t>
        </is>
      </c>
      <c r="B5">
        <f>Girdiler!$F$9</f>
        <v/>
      </c>
    </row>
    <row r="6">
      <c r="A6" t="inlineStr">
        <is>
          <t>Brüt tevkifat (TL)</t>
        </is>
      </c>
      <c r="B6">
        <f>B5*B3</f>
        <v/>
      </c>
    </row>
    <row r="7">
      <c r="A7" t="inlineStr">
        <is>
          <t>BES + Devlet katkısı (TL)</t>
        </is>
      </c>
      <c r="B7">
        <f>B5*SUMPRODUCT(Hesap!$E$2:$E$61,Hesap!$I$2:$I$61)</f>
        <v/>
      </c>
    </row>
    <row r="8">
      <c r="A8" t="inlineStr">
        <is>
          <t>90 gün prim hibesi (TL)</t>
        </is>
      </c>
      <c r="B8">
        <f>B5*SUMPRODUCT(Hesap!$E$2:$E$61,Hesap!$J$2:$J$61)</f>
        <v/>
      </c>
    </row>
    <row r="9">
      <c r="A9" t="inlineStr">
        <is>
          <t>Donanım KDV mahsubu (TL)</t>
        </is>
      </c>
      <c r="B9">
        <f>B5*SUMPRODUCT(Hesap!$E$2:$E$61,Hesap!$K$2:$K$61)</f>
        <v/>
      </c>
    </row>
    <row r="10">
      <c r="A10" t="inlineStr">
        <is>
          <t>Yutulma: vergi (TL)</t>
        </is>
      </c>
      <c r="B10">
        <f>B5*(Girdiler!$F$10*SUMPRODUCT(Hesap!$E$2:$E$61,Hesap!$L$2:$L$61)+Girdiler!$F$12*SUMPRODUCT(Hesap!$E$2:$E$61,Hesap!$N$2:$N$61))</f>
        <v/>
      </c>
    </row>
    <row r="11">
      <c r="A11" t="inlineStr">
        <is>
          <t>Yutulma: prim (TL)</t>
        </is>
      </c>
      <c r="B11">
        <f>B5*Girdiler!$F$10*SUMPRODUCT(Hesap!$E$2:$E$61,Hesap!$M$2:$M$61)</f>
        <v/>
      </c>
    </row>
    <row r="12">
      <c r="A12" t="inlineStr">
        <is>
          <t>Sahte fatura kaybı (TL)</t>
        </is>
      </c>
      <c r="B12">
        <f>MAX(Girdiler!$F$30*(1-Girdiler!$F$31)*Girdiler!$F$28*B5*B2*(Girdiler!$F$29-B4),0)</f>
        <v/>
      </c>
    </row>
    <row r="13">
      <c r="A13" t="inlineStr">
        <is>
          <t>KGF maliyeti (TL)</t>
        </is>
      </c>
      <c r="B13">
        <f>B5*Girdiler!$F$32*Girdiler!$F$35*B2*Girdiler!$F$33*(1-Girdiler!$F$34)</f>
        <v/>
      </c>
    </row>
    <row r="14">
      <c r="A14" t="inlineStr">
        <is>
          <t>BT yıllık işletme (TL)</t>
        </is>
      </c>
      <c r="B14">
        <f>Girdiler!$F$39</f>
        <v/>
      </c>
    </row>
    <row r="15">
      <c r="A15" t="inlineStr">
        <is>
          <t>İtiraz gideri (TL)</t>
        </is>
      </c>
      <c r="B15">
        <f>B5*Girdiler!$F$40*Girdiler!$F$41</f>
        <v/>
      </c>
    </row>
    <row r="16">
      <c r="A16" t="inlineStr">
        <is>
          <t>Denetim (TL)</t>
        </is>
      </c>
      <c r="B16">
        <f>Girdiler!$F$42*B6</f>
        <v/>
      </c>
    </row>
    <row r="17">
      <c r="A17" s="4" t="inlineStr">
        <is>
          <t>NET HAZİNE ETKİSİ (TL/yıl)</t>
        </is>
      </c>
      <c r="B17" s="4">
        <f>B6-B7-B8-B9-B10-B11-B12-B13-B14-B15-B16</f>
        <v/>
      </c>
    </row>
    <row r="18">
      <c r="A18" t="inlineStr">
        <is>
          <t>Net (milyar TL)</t>
        </is>
      </c>
      <c r="B18">
        <f>B17/1000000000</f>
        <v/>
      </c>
    </row>
    <row r="21">
      <c r="A21" t="inlineStr">
        <is>
          <t>Not: prim sürekliliği (prim_devam=1) ile kırılma noktası yoktur; s=1 için Python varyantı Senaryolar_Python sayfasındadır.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Python modeli çıktıları (statik değerler; model.py ve analiz.py ile üretilir)</t>
        </is>
      </c>
    </row>
    <row r="3">
      <c r="A3" s="4" t="inlineStr">
        <is>
          <t>Senaryo</t>
        </is>
      </c>
      <c r="B3" s="4" t="inlineStr">
        <is>
          <t>4. yıl net (mlr TL)</t>
        </is>
      </c>
      <c r="C3" s="4" t="inlineStr">
        <is>
          <t>5 yıl NPV (mlr TL)</t>
        </is>
      </c>
    </row>
    <row r="4">
      <c r="A4" t="inlineStr">
        <is>
          <t>Kötümser</t>
        </is>
      </c>
      <c r="B4" t="n">
        <v>1.084463422748595</v>
      </c>
      <c r="C4" t="n">
        <v>2.986259536424468</v>
      </c>
    </row>
    <row r="5">
      <c r="A5" t="inlineStr">
        <is>
          <t>Orta</t>
        </is>
      </c>
      <c r="B5" t="n">
        <v>4.863742829232634</v>
      </c>
      <c r="C5" t="n">
        <v>14.45167175395206</v>
      </c>
    </row>
    <row r="6">
      <c r="A6" t="inlineStr">
        <is>
          <t>İyimser</t>
        </is>
      </c>
      <c r="B6" t="n">
        <v>14.18537328138288</v>
      </c>
      <c r="C6" t="n">
        <v>42.73259043346012</v>
      </c>
    </row>
    <row r="8">
      <c r="A8" s="4" t="inlineStr">
        <is>
          <t>Politika varyantları (Orta, 4. yıl net, mlr TL)</t>
        </is>
      </c>
    </row>
    <row r="9">
      <c r="A9" t="inlineStr">
        <is>
          <t>G0 Seçilen: kapısız, halen kayıtlı olanın 4/b primi sürer (s=0,15)</t>
        </is>
      </c>
      <c r="B9" t="n">
        <v>4.863742829232634</v>
      </c>
    </row>
    <row r="10">
      <c r="A10" t="inlineStr">
        <is>
          <t>G1 Prim sürekliliği olmasaydı (kapısız, s=0,15)</t>
        </is>
      </c>
      <c r="B10" t="n">
        <v>-1.087615170767367</v>
      </c>
    </row>
    <row r="11">
      <c r="A11" t="inlineStr">
        <is>
          <t>G2 Önceki karar: 24 ay giriş kapısı (s=0,05, prim sürekliliği yok)</t>
        </is>
      </c>
      <c r="B11" t="n">
        <v>3.440481618561076</v>
      </c>
    </row>
    <row r="12">
      <c r="A12" t="inlineStr">
        <is>
          <t>G3 Harici öneri: düz %15 (%5 prim payı), hibe yok, kapısız (s=0,15)</t>
        </is>
      </c>
      <c r="B12" t="n">
        <v>1.823954910190622</v>
      </c>
    </row>
    <row r="13">
      <c r="A13" t="inlineStr">
        <is>
          <t>G4 Seçilen, herkes geçse (s=1,00)</t>
        </is>
      </c>
      <c r="B13" t="n">
        <v>1.075453047078635</v>
      </c>
    </row>
    <row r="14">
      <c r="A14" t="inlineStr">
        <is>
          <t>G5 Seçilen + 90 gün prim hibesi yok</t>
        </is>
      </c>
      <c r="B14" t="n">
        <v>5.2231600036498</v>
      </c>
    </row>
    <row r="15">
      <c r="A15" t="inlineStr">
        <is>
          <t>G6 Seçilen + donanım KDV mahsubu yok</t>
        </is>
      </c>
      <c r="B15" t="n">
        <v>5.490252664609205</v>
      </c>
    </row>
    <row r="16">
      <c r="A16" t="inlineStr">
        <is>
          <t>G7 Seçilen + (e) bendi yok: düz %10,5</t>
        </is>
      </c>
      <c r="B16" t="n">
        <v>4.29473043759288</v>
      </c>
    </row>
    <row r="17">
      <c r="A17" t="inlineStr">
        <is>
          <t>G8 Seçilen + götürü gider %25</t>
        </is>
      </c>
      <c r="B17" t="n">
        <v>5.519902244678498</v>
      </c>
    </row>
    <row r="19">
      <c r="A19" s="4" t="inlineStr">
        <is>
          <t>Kırılma noktası s* (Orta)</t>
        </is>
      </c>
      <c r="B19" t="inlineStr">
        <is>
          <t>yok</t>
        </is>
      </c>
    </row>
    <row r="21">
      <c r="A21" s="4" t="inlineStr">
        <is>
          <t>Monte Carlo (4000 deneme), 4. yıl net (mlr TL)</t>
        </is>
      </c>
    </row>
    <row r="22">
      <c r="A22" t="inlineStr">
        <is>
          <t>P5</t>
        </is>
      </c>
      <c r="B22" t="n">
        <v>1.371685259209676</v>
      </c>
    </row>
    <row r="23">
      <c r="A23" t="inlineStr">
        <is>
          <t>P10</t>
        </is>
      </c>
      <c r="B23" t="n">
        <v>1.816043653111378</v>
      </c>
    </row>
    <row r="24">
      <c r="A24" t="inlineStr">
        <is>
          <t>P25</t>
        </is>
      </c>
      <c r="B24" t="n">
        <v>2.740448089415021</v>
      </c>
    </row>
    <row r="25">
      <c r="A25" t="inlineStr">
        <is>
          <t>P50</t>
        </is>
      </c>
      <c r="B25" t="n">
        <v>4.210833232420195</v>
      </c>
    </row>
    <row r="26">
      <c r="A26" t="inlineStr">
        <is>
          <t>P75</t>
        </is>
      </c>
      <c r="B26" t="n">
        <v>6.348701487779011</v>
      </c>
    </row>
    <row r="27">
      <c r="A27" t="inlineStr">
        <is>
          <t>P90</t>
        </is>
      </c>
      <c r="B27" t="n">
        <v>9.050144277377949</v>
      </c>
    </row>
    <row r="28">
      <c r="A28" t="inlineStr">
        <is>
          <t>P95</t>
        </is>
      </c>
      <c r="B28" t="n">
        <v>11.31276202009183</v>
      </c>
    </row>
    <row r="29">
      <c r="A29" t="inlineStr">
        <is>
          <t>P(net&gt;0)</t>
        </is>
      </c>
      <c r="B29" t="n">
        <v>0.99875</v>
      </c>
    </row>
    <row r="31">
      <c r="A31" s="4" t="inlineStr">
        <is>
          <t>Tornado (Orta tabanı, 4. yıl net değişimi, mlr TL)</t>
        </is>
      </c>
    </row>
    <row r="32">
      <c r="A32" t="inlineStr">
        <is>
          <t>n_toplam</t>
        </is>
      </c>
      <c r="B32" t="n">
        <v>-2.807853045275791</v>
      </c>
      <c r="C32" t="n">
        <v>4.913742829232634</v>
      </c>
    </row>
    <row r="33">
      <c r="A33" t="inlineStr">
        <is>
          <t>medyan_W</t>
        </is>
      </c>
      <c r="B33" t="n">
        <v>-1.816846647234291</v>
      </c>
      <c r="C33" t="n">
        <v>2.027565172759112</v>
      </c>
    </row>
    <row r="34">
      <c r="A34" t="inlineStr">
        <is>
          <t>s_kayitli</t>
        </is>
      </c>
      <c r="B34" t="n">
        <v>0.8407871839926644</v>
      </c>
      <c r="C34" t="n">
        <v>-0.2802623946642227</v>
      </c>
    </row>
    <row r="35">
      <c r="A35" t="inlineStr">
        <is>
          <t>uyum_ucretli</t>
        </is>
      </c>
      <c r="B35" t="n">
        <v>0.5857025562826614</v>
      </c>
      <c r="C35" t="n">
        <v>-0.5857025562826629</v>
      </c>
    </row>
    <row r="36">
      <c r="A36" t="inlineStr">
        <is>
          <t>marj</t>
        </is>
      </c>
      <c r="B36" t="n">
        <v>0.5589775689572811</v>
      </c>
      <c r="C36" t="n">
        <v>-0.5786323428758425</v>
      </c>
    </row>
    <row r="37">
      <c r="A37" t="inlineStr">
        <is>
          <t>u_ucretli</t>
        </is>
      </c>
      <c r="B37" t="n">
        <v>0.4880854635688839</v>
      </c>
      <c r="C37" t="n">
        <v>-0.4880854635688858</v>
      </c>
    </row>
    <row r="38">
      <c r="A38" t="inlineStr">
        <is>
          <t>sigma</t>
        </is>
      </c>
      <c r="B38" t="n">
        <v>-0.4620656689140339</v>
      </c>
      <c r="C38" t="n">
        <v>0.02112601201078796</v>
      </c>
    </row>
    <row r="39">
      <c r="A39" t="inlineStr">
        <is>
          <t>kdv_donanim_pay</t>
        </is>
      </c>
      <c r="B39" t="n">
        <v>0.3132549176882858</v>
      </c>
      <c r="C39" t="n">
        <v>-0.3132549176882877</v>
      </c>
    </row>
    <row r="40">
      <c r="A40" t="inlineStr">
        <is>
          <t>r_marj_ucretli</t>
        </is>
      </c>
      <c r="B40" t="n">
        <v>0.2530813514801616</v>
      </c>
      <c r="C40" t="n">
        <v>-0.2892358302630443</v>
      </c>
    </row>
    <row r="41">
      <c r="A41" t="inlineStr">
        <is>
          <t>myo_uygun</t>
        </is>
      </c>
      <c r="B41" t="n">
        <v>0.2567265531551189</v>
      </c>
      <c r="C41" t="n">
        <v>-0.2567265531551171</v>
      </c>
    </row>
    <row r="42">
      <c r="A42" t="inlineStr">
        <is>
          <t>kgf_alim</t>
        </is>
      </c>
      <c r="B42" t="n">
        <v>0.07592440544404792</v>
      </c>
      <c r="C42" t="n">
        <v>-0.1265406757400818</v>
      </c>
    </row>
    <row r="43">
      <c r="A43" t="inlineStr">
        <is>
          <t>kgf_temerrut</t>
        </is>
      </c>
      <c r="B43" t="n">
        <v>0.06327033787003994</v>
      </c>
      <c r="C43" t="n">
        <v>-0.1265406757400818</v>
      </c>
    </row>
    <row r="44">
      <c r="A44" t="inlineStr">
        <is>
          <t>bes_vazgecme</t>
        </is>
      </c>
      <c r="B44" t="n">
        <v>-0.07361091709504318</v>
      </c>
      <c r="C44" t="n">
        <v>0.07361091709504509</v>
      </c>
    </row>
    <row r="45">
      <c r="A45" t="inlineStr">
        <is>
          <t>phi</t>
        </is>
      </c>
      <c r="B45" t="n">
        <v>0.03464387011085701</v>
      </c>
      <c r="C45" t="n">
        <v>-0.06928774022171402</v>
      </c>
    </row>
    <row r="46">
      <c r="A46" t="inlineStr">
        <is>
          <t>onlem</t>
        </is>
      </c>
      <c r="B46" t="n">
        <v>-0.02078632206651497</v>
      </c>
      <c r="C46" t="n">
        <v>0.02078632206651306</v>
      </c>
    </row>
    <row r="47">
      <c r="A47" t="inlineStr">
        <is>
          <t>prim_odeme</t>
        </is>
      </c>
      <c r="B47" t="n">
        <v>0</v>
      </c>
      <c r="C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2026-10-10T22:44:36Z</dcterms:created>
  <dcterms:modified xmlns:dcterms="http://purl.org/dc/terms/" xmlns:xsi="http://www.w3.org/2001/XMLSchema-instance" xsi:type="dcterms:W3CDTF">2026-10-10T22:44:36Z</dcterms:modified>
</cp:coreProperties>
</file>