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100000</v>
      </c>
      <c r="D9" s="2" t="n">
        <v>331000</v>
      </c>
      <c r="E9" s="2" t="n">
        <v>1096000</v>
      </c>
      <c r="F9" s="4">
        <f>INDEX(C9:E9,$D$2)</f>
        <v/>
      </c>
      <c r="G9" t="inlineStr">
        <is>
          <t>Kötümser: F 3-I 268; İyimser: F 3-I 269 oranları × ILO 2025 + F 3-I 273 gayrıresmî tanımı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isteğe bağlı olduğundan sonucu çok etkiler</t>
        </is>
      </c>
    </row>
    <row r="11">
      <c r="A11" t="inlineStr">
        <is>
          <t>Halen kayıtlı olanın isteğe bağlı primi sürdürme payı (0 = hiç sürdürmez)</t>
        </is>
      </c>
      <c r="B11" t="inlineStr">
        <is>
          <t>prim_devam</t>
        </is>
      </c>
      <c r="C11" s="2" t="n">
        <v>0</v>
      </c>
      <c r="D11" s="2" t="n">
        <v>0</v>
      </c>
      <c r="E11" s="2" t="n">
        <v>0</v>
      </c>
      <c r="F11" s="4">
        <f>INDEX(C11:E11,$D$2)</f>
        <v/>
      </c>
      <c r="G11" t="inlineStr">
        <is>
          <t>Teklif Madde 1 (p), 5 (o): prim isteğe bağlı; en kötü hâl 0</t>
        </is>
      </c>
    </row>
    <row r="12">
      <c r="A12" t="inlineStr">
        <is>
          <t>Ücretli ek gelir payı (u)</t>
        </is>
      </c>
      <c r="B12" t="inlineStr">
        <is>
          <t>u_ucretli</t>
        </is>
      </c>
      <c r="C12" s="2" t="n">
        <v>0</v>
      </c>
      <c r="D12" s="2" t="n">
        <v>0</v>
      </c>
      <c r="E12" s="2" t="n">
        <v>0</v>
      </c>
      <c r="F12" s="4">
        <f>INDEX(C12:E12,$D$2)</f>
        <v/>
      </c>
      <c r="G12" t="inlineStr">
        <is>
          <t>Teklif Madde 1 (t): ücretli çalışan rejim dışında (F 3-I 302)</t>
        </is>
      </c>
    </row>
    <row r="13">
      <c r="A13" t="inlineStr">
        <is>
          <t>Tevkifat oranı (gayrisafi hasılatın)</t>
        </is>
      </c>
      <c r="B13" t="inlineStr">
        <is>
          <t>duz_oran</t>
        </is>
      </c>
      <c r="C13" s="2" t="n">
        <v>0.135</v>
      </c>
      <c r="D13" s="2" t="n">
        <v>0.135</v>
      </c>
      <c r="E13" s="2" t="n">
        <v>0.135</v>
      </c>
      <c r="F13" s="4">
        <f>INDEX(C13:E13,$D$2)</f>
        <v/>
      </c>
      <c r="G13" t="inlineStr">
        <is>
          <t>Teklif Madde 1 (e): %13,5 ile %27 arası; F 3-I 299</t>
        </is>
      </c>
    </row>
    <row r="14">
      <c r="A14" t="inlineStr">
        <is>
          <t>BES aktarım oranı (tevkifatın)</t>
        </is>
      </c>
      <c r="B14" t="inlineStr">
        <is>
          <t>bes</t>
        </is>
      </c>
      <c r="C14" s="2" t="n">
        <v>0.03</v>
      </c>
      <c r="D14" s="2" t="n">
        <v>0.03</v>
      </c>
      <c r="E14" s="2" t="n">
        <v>0.03</v>
      </c>
      <c r="F14" s="4">
        <f>INDEX(C14:E14,$D$2)</f>
        <v/>
      </c>
      <c r="G14" t="inlineStr">
        <is>
          <t>Teklif Madde 9</t>
        </is>
      </c>
    </row>
    <row r="15">
      <c r="A15" t="inlineStr">
        <is>
          <t>Devlet katkısı oranı</t>
        </is>
      </c>
      <c r="B15" t="inlineStr">
        <is>
          <t>devlet_katki</t>
        </is>
      </c>
      <c r="C15" s="2" t="n">
        <v>0.2</v>
      </c>
      <c r="D15" s="2" t="n">
        <v>0.2</v>
      </c>
      <c r="E15" s="2" t="n">
        <v>0.2</v>
      </c>
      <c r="F15" s="4">
        <f>INDEX(C15:E15,$D$2)</f>
        <v/>
      </c>
      <c r="G15" t="inlineStr">
        <is>
          <t>4632 Ek 1 + 10811 sayılı Karar (ikincil)</t>
        </is>
      </c>
    </row>
    <row r="16">
      <c r="A16" t="inlineStr">
        <is>
          <t>BES vazgeçme payı</t>
        </is>
      </c>
      <c r="B16" t="inlineStr">
        <is>
          <t>bes_vazgecme</t>
        </is>
      </c>
      <c r="C16" s="2" t="n">
        <v>0.2</v>
      </c>
      <c r="D16" s="2" t="n">
        <v>0.35</v>
      </c>
      <c r="E16" s="2" t="n">
        <v>0.5</v>
      </c>
      <c r="F16" s="4">
        <f>INDEX(C16:E16,$D$2)</f>
        <v/>
      </c>
      <c r="G16" t="inlineStr">
        <is>
          <t>Varsayım</t>
        </is>
      </c>
    </row>
    <row r="17">
      <c r="A17" t="inlineStr">
        <is>
          <t>MYÖ prim oranı</t>
        </is>
      </c>
      <c r="B17" t="inlineStr">
        <is>
          <t>myo_oran</t>
        </is>
      </c>
      <c r="C17" s="2" t="n">
        <v>0.21</v>
      </c>
      <c r="D17" s="2" t="n">
        <v>0.21</v>
      </c>
      <c r="E17" s="2" t="n">
        <v>0.21</v>
      </c>
      <c r="F17" s="4">
        <f>INDEX(C17:E17,$D$2)</f>
        <v/>
      </c>
      <c r="G17" t="inlineStr">
        <is>
          <t>5510 m.81</t>
        </is>
      </c>
    </row>
    <row r="18">
      <c r="A18" t="inlineStr">
        <is>
          <t>Hibe prim süresi (ay)</t>
        </is>
      </c>
      <c r="B18" t="inlineStr">
        <is>
          <t>myo_gun_ay</t>
        </is>
      </c>
      <c r="C18" s="2" t="n">
        <v>3</v>
      </c>
      <c r="D18" s="2" t="n">
        <v>3</v>
      </c>
      <c r="E18" s="2" t="n">
        <v>3</v>
      </c>
      <c r="F18" s="4">
        <f>INDEX(C18:E18,$D$2)</f>
        <v/>
      </c>
      <c r="G18" t="inlineStr">
        <is>
          <t>Teklif 5510 Ek 25 (90 gün)</t>
        </is>
      </c>
    </row>
    <row r="19">
      <c r="A19" t="inlineStr">
        <is>
          <t>90 gün primi hak edenlerin payı (çakışmasız)</t>
        </is>
      </c>
      <c r="B19" t="inlineStr">
        <is>
          <t>myo_uygun</t>
        </is>
      </c>
      <c r="C19" s="2" t="n">
        <v>0.5</v>
      </c>
      <c r="D19" s="2" t="n">
        <v>0.35</v>
      </c>
      <c r="E19" s="2" t="n">
        <v>0.2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Donanım alan payı</t>
        </is>
      </c>
      <c r="B20" t="inlineStr">
        <is>
          <t>kdv_donanim_pay</t>
        </is>
      </c>
      <c r="C20" s="2" t="n">
        <v>0.5</v>
      </c>
      <c r="D20" s="2" t="n">
        <v>0.4</v>
      </c>
      <c r="E20" s="2" t="n">
        <v>0.3</v>
      </c>
      <c r="F20" s="4">
        <f>INDEX(C20:E20,$D$2)</f>
        <v/>
      </c>
      <c r="G20" t="inlineStr">
        <is>
          <t>Varsayım</t>
        </is>
      </c>
    </row>
    <row r="21">
      <c r="A21" t="inlineStr">
        <is>
          <t>Yıllık donanım KDV ortalaması (TL)</t>
        </is>
      </c>
      <c r="B21" t="inlineStr">
        <is>
          <t>kdv_donanim_kdv</t>
        </is>
      </c>
      <c r="C21" s="2" t="n">
        <v>5000</v>
      </c>
      <c r="D21" s="2" t="n">
        <v>5000</v>
      </c>
      <c r="E21" s="2" t="n">
        <v>5000</v>
      </c>
      <c r="F21" s="4">
        <f>INDEX(C21:E21,$D$2)</f>
        <v/>
      </c>
      <c r="G21" t="inlineStr">
        <is>
          <t>Varsayım</t>
        </is>
      </c>
    </row>
    <row r="22">
      <c r="A22" t="inlineStr">
        <is>
          <t>KDV mahsup üst sınırı (tevkifatın oranı)</t>
        </is>
      </c>
      <c r="B22" t="inlineStr">
        <is>
          <t>kdv_mahsup_tavan</t>
        </is>
      </c>
      <c r="C22" s="2" t="n">
        <v>0.5</v>
      </c>
      <c r="D22" s="2" t="n">
        <v>0.5</v>
      </c>
      <c r="E22" s="2" t="n">
        <v>0.5</v>
      </c>
      <c r="F22" s="4">
        <f>INDEX(C22:E22,$D$2)</f>
        <v/>
      </c>
      <c r="G22" t="inlineStr">
        <is>
          <t>Teklif Madde 3 önerisi</t>
        </is>
      </c>
    </row>
    <row r="23">
      <c r="A23" t="inlineStr">
        <is>
          <t>Eski rejimde kâr marjı</t>
        </is>
      </c>
      <c r="B23" t="inlineStr">
        <is>
          <t>marj</t>
        </is>
      </c>
      <c r="C23" s="2" t="n">
        <v>0.5</v>
      </c>
      <c r="D23" s="2" t="n">
        <v>0.5</v>
      </c>
      <c r="E23" s="2" t="n">
        <v>0.5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Eski 4/b yıllık asgari prim (TL)</t>
        </is>
      </c>
      <c r="B24" t="inlineStr">
        <is>
          <t>prim_eski</t>
        </is>
      </c>
      <c r="C24" s="2" t="n">
        <v>141699</v>
      </c>
      <c r="D24" s="2" t="n">
        <v>141699</v>
      </c>
      <c r="E24" s="2" t="n">
        <v>141699</v>
      </c>
      <c r="F24" s="4">
        <f>INDEX(C24:E24,$D$2)</f>
        <v/>
      </c>
      <c r="G24" t="inlineStr">
        <is>
          <t>33.030×%35,75×12</t>
        </is>
      </c>
    </row>
    <row r="25">
      <c r="A25" t="inlineStr">
        <is>
          <t>Eski prim ödeme oranı</t>
        </is>
      </c>
      <c r="B25" t="inlineStr">
        <is>
          <t>prim_odeme</t>
        </is>
      </c>
      <c r="C25" s="2" t="n">
        <v>0.8</v>
      </c>
      <c r="D25" s="2" t="n">
        <v>0.8</v>
      </c>
      <c r="E25" s="2" t="n">
        <v>0.8</v>
      </c>
      <c r="F25" s="4">
        <f>INDEX(C25:E25,$D$2)</f>
        <v/>
      </c>
      <c r="G25" t="inlineStr">
        <is>
          <t>Varsayım</t>
        </is>
      </c>
    </row>
    <row r="26">
      <c r="A26" t="inlineStr">
        <is>
          <t>Ücretlinin marjinal oranı</t>
        </is>
      </c>
      <c r="B26" t="inlineStr">
        <is>
          <t>r_marj_ucretli</t>
        </is>
      </c>
      <c r="C26" s="2" t="n">
        <v>0.27</v>
      </c>
      <c r="D26" s="2" t="n">
        <v>0.27</v>
      </c>
      <c r="E26" s="2" t="n">
        <v>0.27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Ücretlinin eski rejimde uyum oranı</t>
        </is>
      </c>
      <c r="B27" t="inlineStr">
        <is>
          <t>uyum_ucretli</t>
        </is>
      </c>
      <c r="C27" s="2" t="n">
        <v>0.5</v>
      </c>
      <c r="D27" s="2" t="n">
        <v>0.5</v>
      </c>
      <c r="E27" s="2" t="n">
        <v>0.5</v>
      </c>
      <c r="F27" s="4">
        <f>INDEX(C27:E27,$D$2)</f>
        <v/>
      </c>
      <c r="G27" t="inlineStr">
        <is>
          <t>Varsayım</t>
        </is>
      </c>
    </row>
    <row r="28">
      <c r="A28" t="inlineStr">
        <is>
          <t>Kurumsal alıcı payı</t>
        </is>
      </c>
      <c r="B28" t="inlineStr">
        <is>
          <t>kurumsal_pay</t>
        </is>
      </c>
      <c r="C28" s="2" t="n">
        <v>0.7</v>
      </c>
      <c r="D28" s="2" t="n">
        <v>0.7</v>
      </c>
      <c r="E28" s="2" t="n">
        <v>0.7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Kurumlar vergisi oranı</t>
        </is>
      </c>
      <c r="B29" t="inlineStr">
        <is>
          <t>kv</t>
        </is>
      </c>
      <c r="C29" s="2" t="n">
        <v>0.25</v>
      </c>
      <c r="D29" s="2" t="n">
        <v>0.25</v>
      </c>
      <c r="E29" s="2" t="n">
        <v>0.25</v>
      </c>
      <c r="F29" s="4">
        <f>INDEX(C29:E29,$D$2)</f>
        <v/>
      </c>
      <c r="G29" t="inlineStr">
        <is>
          <t>Varsayım (kanunda %25)</t>
        </is>
      </c>
    </row>
    <row r="30">
      <c r="A30" t="inlineStr">
        <is>
          <t>Sahte fatura payı (kurumsal akışta, φ)</t>
        </is>
      </c>
      <c r="B30" t="inlineStr">
        <is>
          <t>phi</t>
        </is>
      </c>
      <c r="C30" s="2" t="n">
        <v>0.02</v>
      </c>
      <c r="D30" s="2" t="n">
        <v>0.01</v>
      </c>
      <c r="E30" s="2" t="n">
        <v>0.005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Önlem etkinliği</t>
        </is>
      </c>
      <c r="B31" t="inlineStr">
        <is>
          <t>onlem</t>
        </is>
      </c>
      <c r="C31" s="2" t="n">
        <v>0.3</v>
      </c>
      <c r="D31" s="2" t="n">
        <v>0.5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KGF kullanım oranı</t>
        </is>
      </c>
      <c r="B32" t="inlineStr">
        <is>
          <t>kgf_alim</t>
        </is>
      </c>
      <c r="C32" s="2" t="n">
        <v>0.08</v>
      </c>
      <c r="D32" s="2" t="n">
        <v>0.05</v>
      </c>
      <c r="E32" s="2" t="n">
        <v>0.03</v>
      </c>
      <c r="F32" s="4">
        <f>INDEX(C32:E32,$D$2)</f>
        <v/>
      </c>
      <c r="G32" t="inlineStr">
        <is>
          <t>Varsayım</t>
        </is>
      </c>
    </row>
    <row r="33">
      <c r="A33" t="inlineStr">
        <is>
          <t>KGF temerrüt oranı</t>
        </is>
      </c>
      <c r="B33" t="inlineStr">
        <is>
          <t>kgf_temerrut</t>
        </is>
      </c>
      <c r="C33" s="2" t="n">
        <v>0.15</v>
      </c>
      <c r="D33" s="2" t="n">
        <v>0.1</v>
      </c>
      <c r="E33" s="2" t="n">
        <v>0.06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KGF kurtarma oranı</t>
        </is>
      </c>
      <c r="B34" t="inlineStr">
        <is>
          <t>kgf_kurtarma</t>
        </is>
      </c>
      <c r="C34" s="2" t="n">
        <v>0.3</v>
      </c>
      <c r="D34" s="2" t="n">
        <v>0.3</v>
      </c>
      <c r="E34" s="2" t="n">
        <v>0.3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Kefalet tutarı (hasılatın payı)</t>
        </is>
      </c>
      <c r="B35" t="inlineStr">
        <is>
          <t>kgf_pay</t>
        </is>
      </c>
      <c r="C35" s="2" t="n">
        <v>0.5</v>
      </c>
      <c r="D35" s="2" t="n">
        <v>0.5</v>
      </c>
      <c r="E35" s="2" t="n">
        <v>0.5</v>
      </c>
      <c r="F35" s="4">
        <f>INDEX(C35:E35,$D$2)</f>
        <v/>
      </c>
      <c r="G35" t="inlineStr">
        <is>
          <t>Teklif Madde 8</t>
        </is>
      </c>
    </row>
    <row r="36">
      <c r="A36" t="inlineStr">
        <is>
          <t>PTT UETS birim gideri (TL)</t>
        </is>
      </c>
      <c r="B36" t="inlineStr">
        <is>
          <t>ptt_birim</t>
        </is>
      </c>
      <c r="C36" s="2" t="n">
        <v>50</v>
      </c>
      <c r="D36" s="2" t="n">
        <v>50</v>
      </c>
      <c r="E36" s="2" t="n">
        <v>50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UETS tahsis payı</t>
        </is>
      </c>
      <c r="B37" t="inlineStr">
        <is>
          <t>ptt_pay</t>
        </is>
      </c>
      <c r="C37" s="2" t="n">
        <v>0.8</v>
      </c>
      <c r="D37" s="2" t="n">
        <v>0.8</v>
      </c>
      <c r="E37" s="2" t="n">
        <v>0.8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Tek seferlik BT gideri (TL)</t>
        </is>
      </c>
      <c r="B38" t="inlineStr">
        <is>
          <t>bt_tek</t>
        </is>
      </c>
      <c r="C38" s="2" t="n">
        <v>250000000</v>
      </c>
      <c r="D38" s="2" t="n">
        <v>250000000</v>
      </c>
      <c r="E38" s="2" t="n">
        <v>250000000</v>
      </c>
      <c r="F38" s="4">
        <f>INDEX(C38:E38,$D$2)</f>
        <v/>
      </c>
      <c r="G38" t="inlineStr">
        <is>
          <t>Varsayım</t>
        </is>
      </c>
    </row>
    <row r="39">
      <c r="A39" t="inlineStr">
        <is>
          <t>Yıllık BT işletme gideri (TL)</t>
        </is>
      </c>
      <c r="B39" t="inlineStr">
        <is>
          <t>bt_yillik</t>
        </is>
      </c>
      <c r="C39" s="2" t="n">
        <v>50000000</v>
      </c>
      <c r="D39" s="2" t="n">
        <v>50000000</v>
      </c>
      <c r="E39" s="2" t="n">
        <v>50000000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İtiraz oranı</t>
        </is>
      </c>
      <c r="B40" t="inlineStr">
        <is>
          <t>itiraz_oran</t>
        </is>
      </c>
      <c r="C40" s="2" t="n">
        <v>0.04</v>
      </c>
      <c r="D40" s="2" t="n">
        <v>0.04</v>
      </c>
      <c r="E40" s="2" t="n">
        <v>0.04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İtiraz birim gideri (TL)</t>
        </is>
      </c>
      <c r="B41" t="inlineStr">
        <is>
          <t>itiraz_maliyet</t>
        </is>
      </c>
      <c r="C41" s="2" t="n">
        <v>2000</v>
      </c>
      <c r="D41" s="2" t="n">
        <v>2000</v>
      </c>
      <c r="E41" s="2" t="n">
        <v>2000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Denetim gideri (brüt tevkifatın oranı)</t>
        </is>
      </c>
      <c r="B42" t="inlineStr">
        <is>
          <t>denetim</t>
        </is>
      </c>
      <c r="C42" s="2" t="n">
        <v>0.01</v>
      </c>
      <c r="D42" s="2" t="n">
        <v>0.01</v>
      </c>
      <c r="E42" s="2" t="n">
        <v>0.01</v>
      </c>
      <c r="F42" s="4">
        <f>INDEX(C42:E42,$D$2)</f>
        <v/>
      </c>
      <c r="G42" t="inlineStr">
        <is>
          <t>Varsayım</t>
        </is>
      </c>
    </row>
    <row r="45">
      <c r="A45" s="4" t="inlineStr">
        <is>
          <t>GVK m.103 tarifesi (2026 parantez içi tutarlar)</t>
        </is>
      </c>
    </row>
    <row r="46">
      <c r="A46" s="4" t="inlineStr">
        <is>
          <t>Dilim üst sınırı (TL)</t>
        </is>
      </c>
      <c r="B46" s="4" t="inlineStr">
        <is>
          <t>Oran</t>
        </is>
      </c>
      <c r="C46" s="4" t="inlineStr">
        <is>
          <t>Artış (Δ)</t>
        </is>
      </c>
      <c r="D46" s="4" t="inlineStr">
        <is>
          <t>Alt sınır</t>
        </is>
      </c>
    </row>
    <row r="47">
      <c r="A47" t="n">
        <v>190000</v>
      </c>
      <c r="B47" t="n">
        <v>0.15</v>
      </c>
      <c r="C47">
        <f>B47</f>
        <v/>
      </c>
      <c r="D47" t="n">
        <v>0</v>
      </c>
    </row>
    <row r="48">
      <c r="A48" t="n">
        <v>400000</v>
      </c>
      <c r="B48" t="n">
        <v>0.2</v>
      </c>
      <c r="C48">
        <f>B48-B47</f>
        <v/>
      </c>
      <c r="D48">
        <f>A47</f>
        <v/>
      </c>
    </row>
    <row r="49">
      <c r="A49" t="n">
        <v>1000000</v>
      </c>
      <c r="B49" t="n">
        <v>0.27</v>
      </c>
      <c r="C49">
        <f>B49-B48</f>
        <v/>
      </c>
      <c r="D49">
        <f>A48</f>
        <v/>
      </c>
    </row>
    <row r="50">
      <c r="A50" t="n">
        <v>5300000</v>
      </c>
      <c r="B50" t="n">
        <v>0.35</v>
      </c>
      <c r="C50">
        <f>B50-B49</f>
        <v/>
      </c>
      <c r="D50">
        <f>A49</f>
        <v/>
      </c>
    </row>
    <row r="51">
      <c r="A51" t="n">
        <v>1000000000000</v>
      </c>
      <c r="B51" t="n">
        <v>0.4</v>
      </c>
      <c r="C51">
        <f>B51-B50</f>
        <v/>
      </c>
      <c r="D51">
        <f>A50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Tevkifat matrahı (gayrisafi)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D2</f>
        <v/>
      </c>
      <c r="G2">
        <f>Girdiler!$F$13*F2</f>
        <v/>
      </c>
      <c r="H2">
        <f>G2/D2</f>
        <v/>
      </c>
      <c r="I2">
        <f>Girdiler!$F$14*G2*(1-Girdiler!$F$16)*(1+Girdiler!$F$15)</f>
        <v/>
      </c>
      <c r="J2">
        <f>IF(D2&gt;=12*Girdiler!$F$6,Girdiler!$F$19*Girdiler!$F$18*Girdiler!$F$6*Girdiler!$F$17,0)</f>
        <v/>
      </c>
      <c r="K2">
        <f>Girdiler!$F$20*MIN(Girdiler!$F$22*G2,Girdiler!$F$21)</f>
        <v/>
      </c>
      <c r="L2">
        <f>SUMPRODUCT((Girdiler!$F$23*D2&gt;Girdiler!$D$47:$D$51)*(Girdiler!$F$23*D2-Girdiler!$D$47:$D$51)*Girdiler!$C$47:$C$51)</f>
        <v/>
      </c>
      <c r="M2">
        <f>Girdiler!$F$25*Girdiler!$F$24*(1-Girdiler!$F$11)</f>
        <v/>
      </c>
      <c r="N2">
        <f>Girdiler!$F$27*Girdiler!$F$26*Girdiler!$F$23*D2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D3</f>
        <v/>
      </c>
      <c r="G3">
        <f>Girdiler!$F$13*F3</f>
        <v/>
      </c>
      <c r="H3">
        <f>G3/D3</f>
        <v/>
      </c>
      <c r="I3">
        <f>Girdiler!$F$14*G3*(1-Girdiler!$F$16)*(1+Girdiler!$F$15)</f>
        <v/>
      </c>
      <c r="J3">
        <f>IF(D3&gt;=12*Girdiler!$F$6,Girdiler!$F$19*Girdiler!$F$18*Girdiler!$F$6*Girdiler!$F$17,0)</f>
        <v/>
      </c>
      <c r="K3">
        <f>Girdiler!$F$20*MIN(Girdiler!$F$22*G3,Girdiler!$F$21)</f>
        <v/>
      </c>
      <c r="L3">
        <f>SUMPRODUCT((Girdiler!$F$23*D3&gt;Girdiler!$D$47:$D$51)*(Girdiler!$F$23*D3-Girdiler!$D$47:$D$51)*Girdiler!$C$47:$C$51)</f>
        <v/>
      </c>
      <c r="M3">
        <f>Girdiler!$F$25*Girdiler!$F$24*(1-Girdiler!$F$11)</f>
        <v/>
      </c>
      <c r="N3">
        <f>Girdiler!$F$27*Girdiler!$F$26*Girdiler!$F$23*D3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D4</f>
        <v/>
      </c>
      <c r="G4">
        <f>Girdiler!$F$13*F4</f>
        <v/>
      </c>
      <c r="H4">
        <f>G4/D4</f>
        <v/>
      </c>
      <c r="I4">
        <f>Girdiler!$F$14*G4*(1-Girdiler!$F$16)*(1+Girdiler!$F$15)</f>
        <v/>
      </c>
      <c r="J4">
        <f>IF(D4&gt;=12*Girdiler!$F$6,Girdiler!$F$19*Girdiler!$F$18*Girdiler!$F$6*Girdiler!$F$17,0)</f>
        <v/>
      </c>
      <c r="K4">
        <f>Girdiler!$F$20*MIN(Girdiler!$F$22*G4,Girdiler!$F$21)</f>
        <v/>
      </c>
      <c r="L4">
        <f>SUMPRODUCT((Girdiler!$F$23*D4&gt;Girdiler!$D$47:$D$51)*(Girdiler!$F$23*D4-Girdiler!$D$47:$D$51)*Girdiler!$C$47:$C$51)</f>
        <v/>
      </c>
      <c r="M4">
        <f>Girdiler!$F$25*Girdiler!$F$24*(1-Girdiler!$F$11)</f>
        <v/>
      </c>
      <c r="N4">
        <f>Girdiler!$F$27*Girdiler!$F$26*Girdiler!$F$23*D4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D5</f>
        <v/>
      </c>
      <c r="G5">
        <f>Girdiler!$F$13*F5</f>
        <v/>
      </c>
      <c r="H5">
        <f>G5/D5</f>
        <v/>
      </c>
      <c r="I5">
        <f>Girdiler!$F$14*G5*(1-Girdiler!$F$16)*(1+Girdiler!$F$15)</f>
        <v/>
      </c>
      <c r="J5">
        <f>IF(D5&gt;=12*Girdiler!$F$6,Girdiler!$F$19*Girdiler!$F$18*Girdiler!$F$6*Girdiler!$F$17,0)</f>
        <v/>
      </c>
      <c r="K5">
        <f>Girdiler!$F$20*MIN(Girdiler!$F$22*G5,Girdiler!$F$21)</f>
        <v/>
      </c>
      <c r="L5">
        <f>SUMPRODUCT((Girdiler!$F$23*D5&gt;Girdiler!$D$47:$D$51)*(Girdiler!$F$23*D5-Girdiler!$D$47:$D$51)*Girdiler!$C$47:$C$51)</f>
        <v/>
      </c>
      <c r="M5">
        <f>Girdiler!$F$25*Girdiler!$F$24*(1-Girdiler!$F$11)</f>
        <v/>
      </c>
      <c r="N5">
        <f>Girdiler!$F$27*Girdiler!$F$26*Girdiler!$F$23*D5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D6</f>
        <v/>
      </c>
      <c r="G6">
        <f>Girdiler!$F$13*F6</f>
        <v/>
      </c>
      <c r="H6">
        <f>G6/D6</f>
        <v/>
      </c>
      <c r="I6">
        <f>Girdiler!$F$14*G6*(1-Girdiler!$F$16)*(1+Girdiler!$F$15)</f>
        <v/>
      </c>
      <c r="J6">
        <f>IF(D6&gt;=12*Girdiler!$F$6,Girdiler!$F$19*Girdiler!$F$18*Girdiler!$F$6*Girdiler!$F$17,0)</f>
        <v/>
      </c>
      <c r="K6">
        <f>Girdiler!$F$20*MIN(Girdiler!$F$22*G6,Girdiler!$F$21)</f>
        <v/>
      </c>
      <c r="L6">
        <f>SUMPRODUCT((Girdiler!$F$23*D6&gt;Girdiler!$D$47:$D$51)*(Girdiler!$F$23*D6-Girdiler!$D$47:$D$51)*Girdiler!$C$47:$C$51)</f>
        <v/>
      </c>
      <c r="M6">
        <f>Girdiler!$F$25*Girdiler!$F$24*(1-Girdiler!$F$11)</f>
        <v/>
      </c>
      <c r="N6">
        <f>Girdiler!$F$27*Girdiler!$F$26*Girdiler!$F$23*D6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D7</f>
        <v/>
      </c>
      <c r="G7">
        <f>Girdiler!$F$13*F7</f>
        <v/>
      </c>
      <c r="H7">
        <f>G7/D7</f>
        <v/>
      </c>
      <c r="I7">
        <f>Girdiler!$F$14*G7*(1-Girdiler!$F$16)*(1+Girdiler!$F$15)</f>
        <v/>
      </c>
      <c r="J7">
        <f>IF(D7&gt;=12*Girdiler!$F$6,Girdiler!$F$19*Girdiler!$F$18*Girdiler!$F$6*Girdiler!$F$17,0)</f>
        <v/>
      </c>
      <c r="K7">
        <f>Girdiler!$F$20*MIN(Girdiler!$F$22*G7,Girdiler!$F$21)</f>
        <v/>
      </c>
      <c r="L7">
        <f>SUMPRODUCT((Girdiler!$F$23*D7&gt;Girdiler!$D$47:$D$51)*(Girdiler!$F$23*D7-Girdiler!$D$47:$D$51)*Girdiler!$C$47:$C$51)</f>
        <v/>
      </c>
      <c r="M7">
        <f>Girdiler!$F$25*Girdiler!$F$24*(1-Girdiler!$F$11)</f>
        <v/>
      </c>
      <c r="N7">
        <f>Girdiler!$F$27*Girdiler!$F$26*Girdiler!$F$23*D7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D8</f>
        <v/>
      </c>
      <c r="G8">
        <f>Girdiler!$F$13*F8</f>
        <v/>
      </c>
      <c r="H8">
        <f>G8/D8</f>
        <v/>
      </c>
      <c r="I8">
        <f>Girdiler!$F$14*G8*(1-Girdiler!$F$16)*(1+Girdiler!$F$15)</f>
        <v/>
      </c>
      <c r="J8">
        <f>IF(D8&gt;=12*Girdiler!$F$6,Girdiler!$F$19*Girdiler!$F$18*Girdiler!$F$6*Girdiler!$F$17,0)</f>
        <v/>
      </c>
      <c r="K8">
        <f>Girdiler!$F$20*MIN(Girdiler!$F$22*G8,Girdiler!$F$21)</f>
        <v/>
      </c>
      <c r="L8">
        <f>SUMPRODUCT((Girdiler!$F$23*D8&gt;Girdiler!$D$47:$D$51)*(Girdiler!$F$23*D8-Girdiler!$D$47:$D$51)*Girdiler!$C$47:$C$51)</f>
        <v/>
      </c>
      <c r="M8">
        <f>Girdiler!$F$25*Girdiler!$F$24*(1-Girdiler!$F$11)</f>
        <v/>
      </c>
      <c r="N8">
        <f>Girdiler!$F$27*Girdiler!$F$26*Girdiler!$F$23*D8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D9</f>
        <v/>
      </c>
      <c r="G9">
        <f>Girdiler!$F$13*F9</f>
        <v/>
      </c>
      <c r="H9">
        <f>G9/D9</f>
        <v/>
      </c>
      <c r="I9">
        <f>Girdiler!$F$14*G9*(1-Girdiler!$F$16)*(1+Girdiler!$F$15)</f>
        <v/>
      </c>
      <c r="J9">
        <f>IF(D9&gt;=12*Girdiler!$F$6,Girdiler!$F$19*Girdiler!$F$18*Girdiler!$F$6*Girdiler!$F$17,0)</f>
        <v/>
      </c>
      <c r="K9">
        <f>Girdiler!$F$20*MIN(Girdiler!$F$22*G9,Girdiler!$F$21)</f>
        <v/>
      </c>
      <c r="L9">
        <f>SUMPRODUCT((Girdiler!$F$23*D9&gt;Girdiler!$D$47:$D$51)*(Girdiler!$F$23*D9-Girdiler!$D$47:$D$51)*Girdiler!$C$47:$C$51)</f>
        <v/>
      </c>
      <c r="M9">
        <f>Girdiler!$F$25*Girdiler!$F$24*(1-Girdiler!$F$11)</f>
        <v/>
      </c>
      <c r="N9">
        <f>Girdiler!$F$27*Girdiler!$F$26*Girdiler!$F$23*D9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D10</f>
        <v/>
      </c>
      <c r="G10">
        <f>Girdiler!$F$13*F10</f>
        <v/>
      </c>
      <c r="H10">
        <f>G10/D10</f>
        <v/>
      </c>
      <c r="I10">
        <f>Girdiler!$F$14*G10*(1-Girdiler!$F$16)*(1+Girdiler!$F$15)</f>
        <v/>
      </c>
      <c r="J10">
        <f>IF(D10&gt;=12*Girdiler!$F$6,Girdiler!$F$19*Girdiler!$F$18*Girdiler!$F$6*Girdiler!$F$17,0)</f>
        <v/>
      </c>
      <c r="K10">
        <f>Girdiler!$F$20*MIN(Girdiler!$F$22*G10,Girdiler!$F$21)</f>
        <v/>
      </c>
      <c r="L10">
        <f>SUMPRODUCT((Girdiler!$F$23*D10&gt;Girdiler!$D$47:$D$51)*(Girdiler!$F$23*D10-Girdiler!$D$47:$D$51)*Girdiler!$C$47:$C$51)</f>
        <v/>
      </c>
      <c r="M10">
        <f>Girdiler!$F$25*Girdiler!$F$24*(1-Girdiler!$F$11)</f>
        <v/>
      </c>
      <c r="N10">
        <f>Girdiler!$F$27*Girdiler!$F$26*Girdiler!$F$23*D10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D11</f>
        <v/>
      </c>
      <c r="G11">
        <f>Girdiler!$F$13*F11</f>
        <v/>
      </c>
      <c r="H11">
        <f>G11/D11</f>
        <v/>
      </c>
      <c r="I11">
        <f>Girdiler!$F$14*G11*(1-Girdiler!$F$16)*(1+Girdiler!$F$15)</f>
        <v/>
      </c>
      <c r="J11">
        <f>IF(D11&gt;=12*Girdiler!$F$6,Girdiler!$F$19*Girdiler!$F$18*Girdiler!$F$6*Girdiler!$F$17,0)</f>
        <v/>
      </c>
      <c r="K11">
        <f>Girdiler!$F$20*MIN(Girdiler!$F$22*G11,Girdiler!$F$21)</f>
        <v/>
      </c>
      <c r="L11">
        <f>SUMPRODUCT((Girdiler!$F$23*D11&gt;Girdiler!$D$47:$D$51)*(Girdiler!$F$23*D11-Girdiler!$D$47:$D$51)*Girdiler!$C$47:$C$51)</f>
        <v/>
      </c>
      <c r="M11">
        <f>Girdiler!$F$25*Girdiler!$F$24*(1-Girdiler!$F$11)</f>
        <v/>
      </c>
      <c r="N11">
        <f>Girdiler!$F$27*Girdiler!$F$26*Girdiler!$F$23*D11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D12</f>
        <v/>
      </c>
      <c r="G12">
        <f>Girdiler!$F$13*F12</f>
        <v/>
      </c>
      <c r="H12">
        <f>G12/D12</f>
        <v/>
      </c>
      <c r="I12">
        <f>Girdiler!$F$14*G12*(1-Girdiler!$F$16)*(1+Girdiler!$F$15)</f>
        <v/>
      </c>
      <c r="J12">
        <f>IF(D12&gt;=12*Girdiler!$F$6,Girdiler!$F$19*Girdiler!$F$18*Girdiler!$F$6*Girdiler!$F$17,0)</f>
        <v/>
      </c>
      <c r="K12">
        <f>Girdiler!$F$20*MIN(Girdiler!$F$22*G12,Girdiler!$F$21)</f>
        <v/>
      </c>
      <c r="L12">
        <f>SUMPRODUCT((Girdiler!$F$23*D12&gt;Girdiler!$D$47:$D$51)*(Girdiler!$F$23*D12-Girdiler!$D$47:$D$51)*Girdiler!$C$47:$C$51)</f>
        <v/>
      </c>
      <c r="M12">
        <f>Girdiler!$F$25*Girdiler!$F$24*(1-Girdiler!$F$11)</f>
        <v/>
      </c>
      <c r="N12">
        <f>Girdiler!$F$27*Girdiler!$F$26*Girdiler!$F$23*D12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D13</f>
        <v/>
      </c>
      <c r="G13">
        <f>Girdiler!$F$13*F13</f>
        <v/>
      </c>
      <c r="H13">
        <f>G13/D13</f>
        <v/>
      </c>
      <c r="I13">
        <f>Girdiler!$F$14*G13*(1-Girdiler!$F$16)*(1+Girdiler!$F$15)</f>
        <v/>
      </c>
      <c r="J13">
        <f>IF(D13&gt;=12*Girdiler!$F$6,Girdiler!$F$19*Girdiler!$F$18*Girdiler!$F$6*Girdiler!$F$17,0)</f>
        <v/>
      </c>
      <c r="K13">
        <f>Girdiler!$F$20*MIN(Girdiler!$F$22*G13,Girdiler!$F$21)</f>
        <v/>
      </c>
      <c r="L13">
        <f>SUMPRODUCT((Girdiler!$F$23*D13&gt;Girdiler!$D$47:$D$51)*(Girdiler!$F$23*D13-Girdiler!$D$47:$D$51)*Girdiler!$C$47:$C$51)</f>
        <v/>
      </c>
      <c r="M13">
        <f>Girdiler!$F$25*Girdiler!$F$24*(1-Girdiler!$F$11)</f>
        <v/>
      </c>
      <c r="N13">
        <f>Girdiler!$F$27*Girdiler!$F$26*Girdiler!$F$23*D13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D14</f>
        <v/>
      </c>
      <c r="G14">
        <f>Girdiler!$F$13*F14</f>
        <v/>
      </c>
      <c r="H14">
        <f>G14/D14</f>
        <v/>
      </c>
      <c r="I14">
        <f>Girdiler!$F$14*G14*(1-Girdiler!$F$16)*(1+Girdiler!$F$15)</f>
        <v/>
      </c>
      <c r="J14">
        <f>IF(D14&gt;=12*Girdiler!$F$6,Girdiler!$F$19*Girdiler!$F$18*Girdiler!$F$6*Girdiler!$F$17,0)</f>
        <v/>
      </c>
      <c r="K14">
        <f>Girdiler!$F$20*MIN(Girdiler!$F$22*G14,Girdiler!$F$21)</f>
        <v/>
      </c>
      <c r="L14">
        <f>SUMPRODUCT((Girdiler!$F$23*D14&gt;Girdiler!$D$47:$D$51)*(Girdiler!$F$23*D14-Girdiler!$D$47:$D$51)*Girdiler!$C$47:$C$51)</f>
        <v/>
      </c>
      <c r="M14">
        <f>Girdiler!$F$25*Girdiler!$F$24*(1-Girdiler!$F$11)</f>
        <v/>
      </c>
      <c r="N14">
        <f>Girdiler!$F$27*Girdiler!$F$26*Girdiler!$F$23*D14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D15</f>
        <v/>
      </c>
      <c r="G15">
        <f>Girdiler!$F$13*F15</f>
        <v/>
      </c>
      <c r="H15">
        <f>G15/D15</f>
        <v/>
      </c>
      <c r="I15">
        <f>Girdiler!$F$14*G15*(1-Girdiler!$F$16)*(1+Girdiler!$F$15)</f>
        <v/>
      </c>
      <c r="J15">
        <f>IF(D15&gt;=12*Girdiler!$F$6,Girdiler!$F$19*Girdiler!$F$18*Girdiler!$F$6*Girdiler!$F$17,0)</f>
        <v/>
      </c>
      <c r="K15">
        <f>Girdiler!$F$20*MIN(Girdiler!$F$22*G15,Girdiler!$F$21)</f>
        <v/>
      </c>
      <c r="L15">
        <f>SUMPRODUCT((Girdiler!$F$23*D15&gt;Girdiler!$D$47:$D$51)*(Girdiler!$F$23*D15-Girdiler!$D$47:$D$51)*Girdiler!$C$47:$C$51)</f>
        <v/>
      </c>
      <c r="M15">
        <f>Girdiler!$F$25*Girdiler!$F$24*(1-Girdiler!$F$11)</f>
        <v/>
      </c>
      <c r="N15">
        <f>Girdiler!$F$27*Girdiler!$F$26*Girdiler!$F$23*D15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D16</f>
        <v/>
      </c>
      <c r="G16">
        <f>Girdiler!$F$13*F16</f>
        <v/>
      </c>
      <c r="H16">
        <f>G16/D16</f>
        <v/>
      </c>
      <c r="I16">
        <f>Girdiler!$F$14*G16*(1-Girdiler!$F$16)*(1+Girdiler!$F$15)</f>
        <v/>
      </c>
      <c r="J16">
        <f>IF(D16&gt;=12*Girdiler!$F$6,Girdiler!$F$19*Girdiler!$F$18*Girdiler!$F$6*Girdiler!$F$17,0)</f>
        <v/>
      </c>
      <c r="K16">
        <f>Girdiler!$F$20*MIN(Girdiler!$F$22*G16,Girdiler!$F$21)</f>
        <v/>
      </c>
      <c r="L16">
        <f>SUMPRODUCT((Girdiler!$F$23*D16&gt;Girdiler!$D$47:$D$51)*(Girdiler!$F$23*D16-Girdiler!$D$47:$D$51)*Girdiler!$C$47:$C$51)</f>
        <v/>
      </c>
      <c r="M16">
        <f>Girdiler!$F$25*Girdiler!$F$24*(1-Girdiler!$F$11)</f>
        <v/>
      </c>
      <c r="N16">
        <f>Girdiler!$F$27*Girdiler!$F$26*Girdiler!$F$23*D16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D17</f>
        <v/>
      </c>
      <c r="G17">
        <f>Girdiler!$F$13*F17</f>
        <v/>
      </c>
      <c r="H17">
        <f>G17/D17</f>
        <v/>
      </c>
      <c r="I17">
        <f>Girdiler!$F$14*G17*(1-Girdiler!$F$16)*(1+Girdiler!$F$15)</f>
        <v/>
      </c>
      <c r="J17">
        <f>IF(D17&gt;=12*Girdiler!$F$6,Girdiler!$F$19*Girdiler!$F$18*Girdiler!$F$6*Girdiler!$F$17,0)</f>
        <v/>
      </c>
      <c r="K17">
        <f>Girdiler!$F$20*MIN(Girdiler!$F$22*G17,Girdiler!$F$21)</f>
        <v/>
      </c>
      <c r="L17">
        <f>SUMPRODUCT((Girdiler!$F$23*D17&gt;Girdiler!$D$47:$D$51)*(Girdiler!$F$23*D17-Girdiler!$D$47:$D$51)*Girdiler!$C$47:$C$51)</f>
        <v/>
      </c>
      <c r="M17">
        <f>Girdiler!$F$25*Girdiler!$F$24*(1-Girdiler!$F$11)</f>
        <v/>
      </c>
      <c r="N17">
        <f>Girdiler!$F$27*Girdiler!$F$26*Girdiler!$F$23*D17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D18</f>
        <v/>
      </c>
      <c r="G18">
        <f>Girdiler!$F$13*F18</f>
        <v/>
      </c>
      <c r="H18">
        <f>G18/D18</f>
        <v/>
      </c>
      <c r="I18">
        <f>Girdiler!$F$14*G18*(1-Girdiler!$F$16)*(1+Girdiler!$F$15)</f>
        <v/>
      </c>
      <c r="J18">
        <f>IF(D18&gt;=12*Girdiler!$F$6,Girdiler!$F$19*Girdiler!$F$18*Girdiler!$F$6*Girdiler!$F$17,0)</f>
        <v/>
      </c>
      <c r="K18">
        <f>Girdiler!$F$20*MIN(Girdiler!$F$22*G18,Girdiler!$F$21)</f>
        <v/>
      </c>
      <c r="L18">
        <f>SUMPRODUCT((Girdiler!$F$23*D18&gt;Girdiler!$D$47:$D$51)*(Girdiler!$F$23*D18-Girdiler!$D$47:$D$51)*Girdiler!$C$47:$C$51)</f>
        <v/>
      </c>
      <c r="M18">
        <f>Girdiler!$F$25*Girdiler!$F$24*(1-Girdiler!$F$11)</f>
        <v/>
      </c>
      <c r="N18">
        <f>Girdiler!$F$27*Girdiler!$F$26*Girdiler!$F$23*D18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D19</f>
        <v/>
      </c>
      <c r="G19">
        <f>Girdiler!$F$13*F19</f>
        <v/>
      </c>
      <c r="H19">
        <f>G19/D19</f>
        <v/>
      </c>
      <c r="I19">
        <f>Girdiler!$F$14*G19*(1-Girdiler!$F$16)*(1+Girdiler!$F$15)</f>
        <v/>
      </c>
      <c r="J19">
        <f>IF(D19&gt;=12*Girdiler!$F$6,Girdiler!$F$19*Girdiler!$F$18*Girdiler!$F$6*Girdiler!$F$17,0)</f>
        <v/>
      </c>
      <c r="K19">
        <f>Girdiler!$F$20*MIN(Girdiler!$F$22*G19,Girdiler!$F$21)</f>
        <v/>
      </c>
      <c r="L19">
        <f>SUMPRODUCT((Girdiler!$F$23*D19&gt;Girdiler!$D$47:$D$51)*(Girdiler!$F$23*D19-Girdiler!$D$47:$D$51)*Girdiler!$C$47:$C$51)</f>
        <v/>
      </c>
      <c r="M19">
        <f>Girdiler!$F$25*Girdiler!$F$24*(1-Girdiler!$F$11)</f>
        <v/>
      </c>
      <c r="N19">
        <f>Girdiler!$F$27*Girdiler!$F$26*Girdiler!$F$23*D19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D20</f>
        <v/>
      </c>
      <c r="G20">
        <f>Girdiler!$F$13*F20</f>
        <v/>
      </c>
      <c r="H20">
        <f>G20/D20</f>
        <v/>
      </c>
      <c r="I20">
        <f>Girdiler!$F$14*G20*(1-Girdiler!$F$16)*(1+Girdiler!$F$15)</f>
        <v/>
      </c>
      <c r="J20">
        <f>IF(D20&gt;=12*Girdiler!$F$6,Girdiler!$F$19*Girdiler!$F$18*Girdiler!$F$6*Girdiler!$F$17,0)</f>
        <v/>
      </c>
      <c r="K20">
        <f>Girdiler!$F$20*MIN(Girdiler!$F$22*G20,Girdiler!$F$21)</f>
        <v/>
      </c>
      <c r="L20">
        <f>SUMPRODUCT((Girdiler!$F$23*D20&gt;Girdiler!$D$47:$D$51)*(Girdiler!$F$23*D20-Girdiler!$D$47:$D$51)*Girdiler!$C$47:$C$51)</f>
        <v/>
      </c>
      <c r="M20">
        <f>Girdiler!$F$25*Girdiler!$F$24*(1-Girdiler!$F$11)</f>
        <v/>
      </c>
      <c r="N20">
        <f>Girdiler!$F$27*Girdiler!$F$26*Girdiler!$F$23*D20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D21</f>
        <v/>
      </c>
      <c r="G21">
        <f>Girdiler!$F$13*F21</f>
        <v/>
      </c>
      <c r="H21">
        <f>G21/D21</f>
        <v/>
      </c>
      <c r="I21">
        <f>Girdiler!$F$14*G21*(1-Girdiler!$F$16)*(1+Girdiler!$F$15)</f>
        <v/>
      </c>
      <c r="J21">
        <f>IF(D21&gt;=12*Girdiler!$F$6,Girdiler!$F$19*Girdiler!$F$18*Girdiler!$F$6*Girdiler!$F$17,0)</f>
        <v/>
      </c>
      <c r="K21">
        <f>Girdiler!$F$20*MIN(Girdiler!$F$22*G21,Girdiler!$F$21)</f>
        <v/>
      </c>
      <c r="L21">
        <f>SUMPRODUCT((Girdiler!$F$23*D21&gt;Girdiler!$D$47:$D$51)*(Girdiler!$F$23*D21-Girdiler!$D$47:$D$51)*Girdiler!$C$47:$C$51)</f>
        <v/>
      </c>
      <c r="M21">
        <f>Girdiler!$F$25*Girdiler!$F$24*(1-Girdiler!$F$11)</f>
        <v/>
      </c>
      <c r="N21">
        <f>Girdiler!$F$27*Girdiler!$F$26*Girdiler!$F$23*D21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D22</f>
        <v/>
      </c>
      <c r="G22">
        <f>Girdiler!$F$13*F22</f>
        <v/>
      </c>
      <c r="H22">
        <f>G22/D22</f>
        <v/>
      </c>
      <c r="I22">
        <f>Girdiler!$F$14*G22*(1-Girdiler!$F$16)*(1+Girdiler!$F$15)</f>
        <v/>
      </c>
      <c r="J22">
        <f>IF(D22&gt;=12*Girdiler!$F$6,Girdiler!$F$19*Girdiler!$F$18*Girdiler!$F$6*Girdiler!$F$17,0)</f>
        <v/>
      </c>
      <c r="K22">
        <f>Girdiler!$F$20*MIN(Girdiler!$F$22*G22,Girdiler!$F$21)</f>
        <v/>
      </c>
      <c r="L22">
        <f>SUMPRODUCT((Girdiler!$F$23*D22&gt;Girdiler!$D$47:$D$51)*(Girdiler!$F$23*D22-Girdiler!$D$47:$D$51)*Girdiler!$C$47:$C$51)</f>
        <v/>
      </c>
      <c r="M22">
        <f>Girdiler!$F$25*Girdiler!$F$24*(1-Girdiler!$F$11)</f>
        <v/>
      </c>
      <c r="N22">
        <f>Girdiler!$F$27*Girdiler!$F$26*Girdiler!$F$23*D22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D23</f>
        <v/>
      </c>
      <c r="G23">
        <f>Girdiler!$F$13*F23</f>
        <v/>
      </c>
      <c r="H23">
        <f>G23/D23</f>
        <v/>
      </c>
      <c r="I23">
        <f>Girdiler!$F$14*G23*(1-Girdiler!$F$16)*(1+Girdiler!$F$15)</f>
        <v/>
      </c>
      <c r="J23">
        <f>IF(D23&gt;=12*Girdiler!$F$6,Girdiler!$F$19*Girdiler!$F$18*Girdiler!$F$6*Girdiler!$F$17,0)</f>
        <v/>
      </c>
      <c r="K23">
        <f>Girdiler!$F$20*MIN(Girdiler!$F$22*G23,Girdiler!$F$21)</f>
        <v/>
      </c>
      <c r="L23">
        <f>SUMPRODUCT((Girdiler!$F$23*D23&gt;Girdiler!$D$47:$D$51)*(Girdiler!$F$23*D23-Girdiler!$D$47:$D$51)*Girdiler!$C$47:$C$51)</f>
        <v/>
      </c>
      <c r="M23">
        <f>Girdiler!$F$25*Girdiler!$F$24*(1-Girdiler!$F$11)</f>
        <v/>
      </c>
      <c r="N23">
        <f>Girdiler!$F$27*Girdiler!$F$26*Girdiler!$F$23*D23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D24</f>
        <v/>
      </c>
      <c r="G24">
        <f>Girdiler!$F$13*F24</f>
        <v/>
      </c>
      <c r="H24">
        <f>G24/D24</f>
        <v/>
      </c>
      <c r="I24">
        <f>Girdiler!$F$14*G24*(1-Girdiler!$F$16)*(1+Girdiler!$F$15)</f>
        <v/>
      </c>
      <c r="J24">
        <f>IF(D24&gt;=12*Girdiler!$F$6,Girdiler!$F$19*Girdiler!$F$18*Girdiler!$F$6*Girdiler!$F$17,0)</f>
        <v/>
      </c>
      <c r="K24">
        <f>Girdiler!$F$20*MIN(Girdiler!$F$22*G24,Girdiler!$F$21)</f>
        <v/>
      </c>
      <c r="L24">
        <f>SUMPRODUCT((Girdiler!$F$23*D24&gt;Girdiler!$D$47:$D$51)*(Girdiler!$F$23*D24-Girdiler!$D$47:$D$51)*Girdiler!$C$47:$C$51)</f>
        <v/>
      </c>
      <c r="M24">
        <f>Girdiler!$F$25*Girdiler!$F$24*(1-Girdiler!$F$11)</f>
        <v/>
      </c>
      <c r="N24">
        <f>Girdiler!$F$27*Girdiler!$F$26*Girdiler!$F$23*D24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D25</f>
        <v/>
      </c>
      <c r="G25">
        <f>Girdiler!$F$13*F25</f>
        <v/>
      </c>
      <c r="H25">
        <f>G25/D25</f>
        <v/>
      </c>
      <c r="I25">
        <f>Girdiler!$F$14*G25*(1-Girdiler!$F$16)*(1+Girdiler!$F$15)</f>
        <v/>
      </c>
      <c r="J25">
        <f>IF(D25&gt;=12*Girdiler!$F$6,Girdiler!$F$19*Girdiler!$F$18*Girdiler!$F$6*Girdiler!$F$17,0)</f>
        <v/>
      </c>
      <c r="K25">
        <f>Girdiler!$F$20*MIN(Girdiler!$F$22*G25,Girdiler!$F$21)</f>
        <v/>
      </c>
      <c r="L25">
        <f>SUMPRODUCT((Girdiler!$F$23*D25&gt;Girdiler!$D$47:$D$51)*(Girdiler!$F$23*D25-Girdiler!$D$47:$D$51)*Girdiler!$C$47:$C$51)</f>
        <v/>
      </c>
      <c r="M25">
        <f>Girdiler!$F$25*Girdiler!$F$24*(1-Girdiler!$F$11)</f>
        <v/>
      </c>
      <c r="N25">
        <f>Girdiler!$F$27*Girdiler!$F$26*Girdiler!$F$23*D25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D26</f>
        <v/>
      </c>
      <c r="G26">
        <f>Girdiler!$F$13*F26</f>
        <v/>
      </c>
      <c r="H26">
        <f>G26/D26</f>
        <v/>
      </c>
      <c r="I26">
        <f>Girdiler!$F$14*G26*(1-Girdiler!$F$16)*(1+Girdiler!$F$15)</f>
        <v/>
      </c>
      <c r="J26">
        <f>IF(D26&gt;=12*Girdiler!$F$6,Girdiler!$F$19*Girdiler!$F$18*Girdiler!$F$6*Girdiler!$F$17,0)</f>
        <v/>
      </c>
      <c r="K26">
        <f>Girdiler!$F$20*MIN(Girdiler!$F$22*G26,Girdiler!$F$21)</f>
        <v/>
      </c>
      <c r="L26">
        <f>SUMPRODUCT((Girdiler!$F$23*D26&gt;Girdiler!$D$47:$D$51)*(Girdiler!$F$23*D26-Girdiler!$D$47:$D$51)*Girdiler!$C$47:$C$51)</f>
        <v/>
      </c>
      <c r="M26">
        <f>Girdiler!$F$25*Girdiler!$F$24*(1-Girdiler!$F$11)</f>
        <v/>
      </c>
      <c r="N26">
        <f>Girdiler!$F$27*Girdiler!$F$26*Girdiler!$F$23*D26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D27</f>
        <v/>
      </c>
      <c r="G27">
        <f>Girdiler!$F$13*F27</f>
        <v/>
      </c>
      <c r="H27">
        <f>G27/D27</f>
        <v/>
      </c>
      <c r="I27">
        <f>Girdiler!$F$14*G27*(1-Girdiler!$F$16)*(1+Girdiler!$F$15)</f>
        <v/>
      </c>
      <c r="J27">
        <f>IF(D27&gt;=12*Girdiler!$F$6,Girdiler!$F$19*Girdiler!$F$18*Girdiler!$F$6*Girdiler!$F$17,0)</f>
        <v/>
      </c>
      <c r="K27">
        <f>Girdiler!$F$20*MIN(Girdiler!$F$22*G27,Girdiler!$F$21)</f>
        <v/>
      </c>
      <c r="L27">
        <f>SUMPRODUCT((Girdiler!$F$23*D27&gt;Girdiler!$D$47:$D$51)*(Girdiler!$F$23*D27-Girdiler!$D$47:$D$51)*Girdiler!$C$47:$C$51)</f>
        <v/>
      </c>
      <c r="M27">
        <f>Girdiler!$F$25*Girdiler!$F$24*(1-Girdiler!$F$11)</f>
        <v/>
      </c>
      <c r="N27">
        <f>Girdiler!$F$27*Girdiler!$F$26*Girdiler!$F$23*D27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D28</f>
        <v/>
      </c>
      <c r="G28">
        <f>Girdiler!$F$13*F28</f>
        <v/>
      </c>
      <c r="H28">
        <f>G28/D28</f>
        <v/>
      </c>
      <c r="I28">
        <f>Girdiler!$F$14*G28*(1-Girdiler!$F$16)*(1+Girdiler!$F$15)</f>
        <v/>
      </c>
      <c r="J28">
        <f>IF(D28&gt;=12*Girdiler!$F$6,Girdiler!$F$19*Girdiler!$F$18*Girdiler!$F$6*Girdiler!$F$17,0)</f>
        <v/>
      </c>
      <c r="K28">
        <f>Girdiler!$F$20*MIN(Girdiler!$F$22*G28,Girdiler!$F$21)</f>
        <v/>
      </c>
      <c r="L28">
        <f>SUMPRODUCT((Girdiler!$F$23*D28&gt;Girdiler!$D$47:$D$51)*(Girdiler!$F$23*D28-Girdiler!$D$47:$D$51)*Girdiler!$C$47:$C$51)</f>
        <v/>
      </c>
      <c r="M28">
        <f>Girdiler!$F$25*Girdiler!$F$24*(1-Girdiler!$F$11)</f>
        <v/>
      </c>
      <c r="N28">
        <f>Girdiler!$F$27*Girdiler!$F$26*Girdiler!$F$23*D28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D29</f>
        <v/>
      </c>
      <c r="G29">
        <f>Girdiler!$F$13*F29</f>
        <v/>
      </c>
      <c r="H29">
        <f>G29/D29</f>
        <v/>
      </c>
      <c r="I29">
        <f>Girdiler!$F$14*G29*(1-Girdiler!$F$16)*(1+Girdiler!$F$15)</f>
        <v/>
      </c>
      <c r="J29">
        <f>IF(D29&gt;=12*Girdiler!$F$6,Girdiler!$F$19*Girdiler!$F$18*Girdiler!$F$6*Girdiler!$F$17,0)</f>
        <v/>
      </c>
      <c r="K29">
        <f>Girdiler!$F$20*MIN(Girdiler!$F$22*G29,Girdiler!$F$21)</f>
        <v/>
      </c>
      <c r="L29">
        <f>SUMPRODUCT((Girdiler!$F$23*D29&gt;Girdiler!$D$47:$D$51)*(Girdiler!$F$23*D29-Girdiler!$D$47:$D$51)*Girdiler!$C$47:$C$51)</f>
        <v/>
      </c>
      <c r="M29">
        <f>Girdiler!$F$25*Girdiler!$F$24*(1-Girdiler!$F$11)</f>
        <v/>
      </c>
      <c r="N29">
        <f>Girdiler!$F$27*Girdiler!$F$26*Girdiler!$F$23*D29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D30</f>
        <v/>
      </c>
      <c r="G30">
        <f>Girdiler!$F$13*F30</f>
        <v/>
      </c>
      <c r="H30">
        <f>G30/D30</f>
        <v/>
      </c>
      <c r="I30">
        <f>Girdiler!$F$14*G30*(1-Girdiler!$F$16)*(1+Girdiler!$F$15)</f>
        <v/>
      </c>
      <c r="J30">
        <f>IF(D30&gt;=12*Girdiler!$F$6,Girdiler!$F$19*Girdiler!$F$18*Girdiler!$F$6*Girdiler!$F$17,0)</f>
        <v/>
      </c>
      <c r="K30">
        <f>Girdiler!$F$20*MIN(Girdiler!$F$22*G30,Girdiler!$F$21)</f>
        <v/>
      </c>
      <c r="L30">
        <f>SUMPRODUCT((Girdiler!$F$23*D30&gt;Girdiler!$D$47:$D$51)*(Girdiler!$F$23*D30-Girdiler!$D$47:$D$51)*Girdiler!$C$47:$C$51)</f>
        <v/>
      </c>
      <c r="M30">
        <f>Girdiler!$F$25*Girdiler!$F$24*(1-Girdiler!$F$11)</f>
        <v/>
      </c>
      <c r="N30">
        <f>Girdiler!$F$27*Girdiler!$F$26*Girdiler!$F$23*D30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D31</f>
        <v/>
      </c>
      <c r="G31">
        <f>Girdiler!$F$13*F31</f>
        <v/>
      </c>
      <c r="H31">
        <f>G31/D31</f>
        <v/>
      </c>
      <c r="I31">
        <f>Girdiler!$F$14*G31*(1-Girdiler!$F$16)*(1+Girdiler!$F$15)</f>
        <v/>
      </c>
      <c r="J31">
        <f>IF(D31&gt;=12*Girdiler!$F$6,Girdiler!$F$19*Girdiler!$F$18*Girdiler!$F$6*Girdiler!$F$17,0)</f>
        <v/>
      </c>
      <c r="K31">
        <f>Girdiler!$F$20*MIN(Girdiler!$F$22*G31,Girdiler!$F$21)</f>
        <v/>
      </c>
      <c r="L31">
        <f>SUMPRODUCT((Girdiler!$F$23*D31&gt;Girdiler!$D$47:$D$51)*(Girdiler!$F$23*D31-Girdiler!$D$47:$D$51)*Girdiler!$C$47:$C$51)</f>
        <v/>
      </c>
      <c r="M31">
        <f>Girdiler!$F$25*Girdiler!$F$24*(1-Girdiler!$F$11)</f>
        <v/>
      </c>
      <c r="N31">
        <f>Girdiler!$F$27*Girdiler!$F$26*Girdiler!$F$23*D31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D32</f>
        <v/>
      </c>
      <c r="G32">
        <f>Girdiler!$F$13*F32</f>
        <v/>
      </c>
      <c r="H32">
        <f>G32/D32</f>
        <v/>
      </c>
      <c r="I32">
        <f>Girdiler!$F$14*G32*(1-Girdiler!$F$16)*(1+Girdiler!$F$15)</f>
        <v/>
      </c>
      <c r="J32">
        <f>IF(D32&gt;=12*Girdiler!$F$6,Girdiler!$F$19*Girdiler!$F$18*Girdiler!$F$6*Girdiler!$F$17,0)</f>
        <v/>
      </c>
      <c r="K32">
        <f>Girdiler!$F$20*MIN(Girdiler!$F$22*G32,Girdiler!$F$21)</f>
        <v/>
      </c>
      <c r="L32">
        <f>SUMPRODUCT((Girdiler!$F$23*D32&gt;Girdiler!$D$47:$D$51)*(Girdiler!$F$23*D32-Girdiler!$D$47:$D$51)*Girdiler!$C$47:$C$51)</f>
        <v/>
      </c>
      <c r="M32">
        <f>Girdiler!$F$25*Girdiler!$F$24*(1-Girdiler!$F$11)</f>
        <v/>
      </c>
      <c r="N32">
        <f>Girdiler!$F$27*Girdiler!$F$26*Girdiler!$F$23*D32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D33</f>
        <v/>
      </c>
      <c r="G33">
        <f>Girdiler!$F$13*F33</f>
        <v/>
      </c>
      <c r="H33">
        <f>G33/D33</f>
        <v/>
      </c>
      <c r="I33">
        <f>Girdiler!$F$14*G33*(1-Girdiler!$F$16)*(1+Girdiler!$F$15)</f>
        <v/>
      </c>
      <c r="J33">
        <f>IF(D33&gt;=12*Girdiler!$F$6,Girdiler!$F$19*Girdiler!$F$18*Girdiler!$F$6*Girdiler!$F$17,0)</f>
        <v/>
      </c>
      <c r="K33">
        <f>Girdiler!$F$20*MIN(Girdiler!$F$22*G33,Girdiler!$F$21)</f>
        <v/>
      </c>
      <c r="L33">
        <f>SUMPRODUCT((Girdiler!$F$23*D33&gt;Girdiler!$D$47:$D$51)*(Girdiler!$F$23*D33-Girdiler!$D$47:$D$51)*Girdiler!$C$47:$C$51)</f>
        <v/>
      </c>
      <c r="M33">
        <f>Girdiler!$F$25*Girdiler!$F$24*(1-Girdiler!$F$11)</f>
        <v/>
      </c>
      <c r="N33">
        <f>Girdiler!$F$27*Girdiler!$F$26*Girdiler!$F$23*D33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D34</f>
        <v/>
      </c>
      <c r="G34">
        <f>Girdiler!$F$13*F34</f>
        <v/>
      </c>
      <c r="H34">
        <f>G34/D34</f>
        <v/>
      </c>
      <c r="I34">
        <f>Girdiler!$F$14*G34*(1-Girdiler!$F$16)*(1+Girdiler!$F$15)</f>
        <v/>
      </c>
      <c r="J34">
        <f>IF(D34&gt;=12*Girdiler!$F$6,Girdiler!$F$19*Girdiler!$F$18*Girdiler!$F$6*Girdiler!$F$17,0)</f>
        <v/>
      </c>
      <c r="K34">
        <f>Girdiler!$F$20*MIN(Girdiler!$F$22*G34,Girdiler!$F$21)</f>
        <v/>
      </c>
      <c r="L34">
        <f>SUMPRODUCT((Girdiler!$F$23*D34&gt;Girdiler!$D$47:$D$51)*(Girdiler!$F$23*D34-Girdiler!$D$47:$D$51)*Girdiler!$C$47:$C$51)</f>
        <v/>
      </c>
      <c r="M34">
        <f>Girdiler!$F$25*Girdiler!$F$24*(1-Girdiler!$F$11)</f>
        <v/>
      </c>
      <c r="N34">
        <f>Girdiler!$F$27*Girdiler!$F$26*Girdiler!$F$23*D34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D35</f>
        <v/>
      </c>
      <c r="G35">
        <f>Girdiler!$F$13*F35</f>
        <v/>
      </c>
      <c r="H35">
        <f>G35/D35</f>
        <v/>
      </c>
      <c r="I35">
        <f>Girdiler!$F$14*G35*(1-Girdiler!$F$16)*(1+Girdiler!$F$15)</f>
        <v/>
      </c>
      <c r="J35">
        <f>IF(D35&gt;=12*Girdiler!$F$6,Girdiler!$F$19*Girdiler!$F$18*Girdiler!$F$6*Girdiler!$F$17,0)</f>
        <v/>
      </c>
      <c r="K35">
        <f>Girdiler!$F$20*MIN(Girdiler!$F$22*G35,Girdiler!$F$21)</f>
        <v/>
      </c>
      <c r="L35">
        <f>SUMPRODUCT((Girdiler!$F$23*D35&gt;Girdiler!$D$47:$D$51)*(Girdiler!$F$23*D35-Girdiler!$D$47:$D$51)*Girdiler!$C$47:$C$51)</f>
        <v/>
      </c>
      <c r="M35">
        <f>Girdiler!$F$25*Girdiler!$F$24*(1-Girdiler!$F$11)</f>
        <v/>
      </c>
      <c r="N35">
        <f>Girdiler!$F$27*Girdiler!$F$26*Girdiler!$F$23*D35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D36</f>
        <v/>
      </c>
      <c r="G36">
        <f>Girdiler!$F$13*F36</f>
        <v/>
      </c>
      <c r="H36">
        <f>G36/D36</f>
        <v/>
      </c>
      <c r="I36">
        <f>Girdiler!$F$14*G36*(1-Girdiler!$F$16)*(1+Girdiler!$F$15)</f>
        <v/>
      </c>
      <c r="J36">
        <f>IF(D36&gt;=12*Girdiler!$F$6,Girdiler!$F$19*Girdiler!$F$18*Girdiler!$F$6*Girdiler!$F$17,0)</f>
        <v/>
      </c>
      <c r="K36">
        <f>Girdiler!$F$20*MIN(Girdiler!$F$22*G36,Girdiler!$F$21)</f>
        <v/>
      </c>
      <c r="L36">
        <f>SUMPRODUCT((Girdiler!$F$23*D36&gt;Girdiler!$D$47:$D$51)*(Girdiler!$F$23*D36-Girdiler!$D$47:$D$51)*Girdiler!$C$47:$C$51)</f>
        <v/>
      </c>
      <c r="M36">
        <f>Girdiler!$F$25*Girdiler!$F$24*(1-Girdiler!$F$11)</f>
        <v/>
      </c>
      <c r="N36">
        <f>Girdiler!$F$27*Girdiler!$F$26*Girdiler!$F$23*D36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D37</f>
        <v/>
      </c>
      <c r="G37">
        <f>Girdiler!$F$13*F37</f>
        <v/>
      </c>
      <c r="H37">
        <f>G37/D37</f>
        <v/>
      </c>
      <c r="I37">
        <f>Girdiler!$F$14*G37*(1-Girdiler!$F$16)*(1+Girdiler!$F$15)</f>
        <v/>
      </c>
      <c r="J37">
        <f>IF(D37&gt;=12*Girdiler!$F$6,Girdiler!$F$19*Girdiler!$F$18*Girdiler!$F$6*Girdiler!$F$17,0)</f>
        <v/>
      </c>
      <c r="K37">
        <f>Girdiler!$F$20*MIN(Girdiler!$F$22*G37,Girdiler!$F$21)</f>
        <v/>
      </c>
      <c r="L37">
        <f>SUMPRODUCT((Girdiler!$F$23*D37&gt;Girdiler!$D$47:$D$51)*(Girdiler!$F$23*D37-Girdiler!$D$47:$D$51)*Girdiler!$C$47:$C$51)</f>
        <v/>
      </c>
      <c r="M37">
        <f>Girdiler!$F$25*Girdiler!$F$24*(1-Girdiler!$F$11)</f>
        <v/>
      </c>
      <c r="N37">
        <f>Girdiler!$F$27*Girdiler!$F$26*Girdiler!$F$23*D37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D38</f>
        <v/>
      </c>
      <c r="G38">
        <f>Girdiler!$F$13*F38</f>
        <v/>
      </c>
      <c r="H38">
        <f>G38/D38</f>
        <v/>
      </c>
      <c r="I38">
        <f>Girdiler!$F$14*G38*(1-Girdiler!$F$16)*(1+Girdiler!$F$15)</f>
        <v/>
      </c>
      <c r="J38">
        <f>IF(D38&gt;=12*Girdiler!$F$6,Girdiler!$F$19*Girdiler!$F$18*Girdiler!$F$6*Girdiler!$F$17,0)</f>
        <v/>
      </c>
      <c r="K38">
        <f>Girdiler!$F$20*MIN(Girdiler!$F$22*G38,Girdiler!$F$21)</f>
        <v/>
      </c>
      <c r="L38">
        <f>SUMPRODUCT((Girdiler!$F$23*D38&gt;Girdiler!$D$47:$D$51)*(Girdiler!$F$23*D38-Girdiler!$D$47:$D$51)*Girdiler!$C$47:$C$51)</f>
        <v/>
      </c>
      <c r="M38">
        <f>Girdiler!$F$25*Girdiler!$F$24*(1-Girdiler!$F$11)</f>
        <v/>
      </c>
      <c r="N38">
        <f>Girdiler!$F$27*Girdiler!$F$26*Girdiler!$F$23*D38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D39</f>
        <v/>
      </c>
      <c r="G39">
        <f>Girdiler!$F$13*F39</f>
        <v/>
      </c>
      <c r="H39">
        <f>G39/D39</f>
        <v/>
      </c>
      <c r="I39">
        <f>Girdiler!$F$14*G39*(1-Girdiler!$F$16)*(1+Girdiler!$F$15)</f>
        <v/>
      </c>
      <c r="J39">
        <f>IF(D39&gt;=12*Girdiler!$F$6,Girdiler!$F$19*Girdiler!$F$18*Girdiler!$F$6*Girdiler!$F$17,0)</f>
        <v/>
      </c>
      <c r="K39">
        <f>Girdiler!$F$20*MIN(Girdiler!$F$22*G39,Girdiler!$F$21)</f>
        <v/>
      </c>
      <c r="L39">
        <f>SUMPRODUCT((Girdiler!$F$23*D39&gt;Girdiler!$D$47:$D$51)*(Girdiler!$F$23*D39-Girdiler!$D$47:$D$51)*Girdiler!$C$47:$C$51)</f>
        <v/>
      </c>
      <c r="M39">
        <f>Girdiler!$F$25*Girdiler!$F$24*(1-Girdiler!$F$11)</f>
        <v/>
      </c>
      <c r="N39">
        <f>Girdiler!$F$27*Girdiler!$F$26*Girdiler!$F$23*D39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D40</f>
        <v/>
      </c>
      <c r="G40">
        <f>Girdiler!$F$13*F40</f>
        <v/>
      </c>
      <c r="H40">
        <f>G40/D40</f>
        <v/>
      </c>
      <c r="I40">
        <f>Girdiler!$F$14*G40*(1-Girdiler!$F$16)*(1+Girdiler!$F$15)</f>
        <v/>
      </c>
      <c r="J40">
        <f>IF(D40&gt;=12*Girdiler!$F$6,Girdiler!$F$19*Girdiler!$F$18*Girdiler!$F$6*Girdiler!$F$17,0)</f>
        <v/>
      </c>
      <c r="K40">
        <f>Girdiler!$F$20*MIN(Girdiler!$F$22*G40,Girdiler!$F$21)</f>
        <v/>
      </c>
      <c r="L40">
        <f>SUMPRODUCT((Girdiler!$F$23*D40&gt;Girdiler!$D$47:$D$51)*(Girdiler!$F$23*D40-Girdiler!$D$47:$D$51)*Girdiler!$C$47:$C$51)</f>
        <v/>
      </c>
      <c r="M40">
        <f>Girdiler!$F$25*Girdiler!$F$24*(1-Girdiler!$F$11)</f>
        <v/>
      </c>
      <c r="N40">
        <f>Girdiler!$F$27*Girdiler!$F$26*Girdiler!$F$23*D40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D41</f>
        <v/>
      </c>
      <c r="G41">
        <f>Girdiler!$F$13*F41</f>
        <v/>
      </c>
      <c r="H41">
        <f>G41/D41</f>
        <v/>
      </c>
      <c r="I41">
        <f>Girdiler!$F$14*G41*(1-Girdiler!$F$16)*(1+Girdiler!$F$15)</f>
        <v/>
      </c>
      <c r="J41">
        <f>IF(D41&gt;=12*Girdiler!$F$6,Girdiler!$F$19*Girdiler!$F$18*Girdiler!$F$6*Girdiler!$F$17,0)</f>
        <v/>
      </c>
      <c r="K41">
        <f>Girdiler!$F$20*MIN(Girdiler!$F$22*G41,Girdiler!$F$21)</f>
        <v/>
      </c>
      <c r="L41">
        <f>SUMPRODUCT((Girdiler!$F$23*D41&gt;Girdiler!$D$47:$D$51)*(Girdiler!$F$23*D41-Girdiler!$D$47:$D$51)*Girdiler!$C$47:$C$51)</f>
        <v/>
      </c>
      <c r="M41">
        <f>Girdiler!$F$25*Girdiler!$F$24*(1-Girdiler!$F$11)</f>
        <v/>
      </c>
      <c r="N41">
        <f>Girdiler!$F$27*Girdiler!$F$26*Girdiler!$F$23*D41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D42</f>
        <v/>
      </c>
      <c r="G42">
        <f>Girdiler!$F$13*F42</f>
        <v/>
      </c>
      <c r="H42">
        <f>G42/D42</f>
        <v/>
      </c>
      <c r="I42">
        <f>Girdiler!$F$14*G42*(1-Girdiler!$F$16)*(1+Girdiler!$F$15)</f>
        <v/>
      </c>
      <c r="J42">
        <f>IF(D42&gt;=12*Girdiler!$F$6,Girdiler!$F$19*Girdiler!$F$18*Girdiler!$F$6*Girdiler!$F$17,0)</f>
        <v/>
      </c>
      <c r="K42">
        <f>Girdiler!$F$20*MIN(Girdiler!$F$22*G42,Girdiler!$F$21)</f>
        <v/>
      </c>
      <c r="L42">
        <f>SUMPRODUCT((Girdiler!$F$23*D42&gt;Girdiler!$D$47:$D$51)*(Girdiler!$F$23*D42-Girdiler!$D$47:$D$51)*Girdiler!$C$47:$C$51)</f>
        <v/>
      </c>
      <c r="M42">
        <f>Girdiler!$F$25*Girdiler!$F$24*(1-Girdiler!$F$11)</f>
        <v/>
      </c>
      <c r="N42">
        <f>Girdiler!$F$27*Girdiler!$F$26*Girdiler!$F$23*D42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D43</f>
        <v/>
      </c>
      <c r="G43">
        <f>Girdiler!$F$13*F43</f>
        <v/>
      </c>
      <c r="H43">
        <f>G43/D43</f>
        <v/>
      </c>
      <c r="I43">
        <f>Girdiler!$F$14*G43*(1-Girdiler!$F$16)*(1+Girdiler!$F$15)</f>
        <v/>
      </c>
      <c r="J43">
        <f>IF(D43&gt;=12*Girdiler!$F$6,Girdiler!$F$19*Girdiler!$F$18*Girdiler!$F$6*Girdiler!$F$17,0)</f>
        <v/>
      </c>
      <c r="K43">
        <f>Girdiler!$F$20*MIN(Girdiler!$F$22*G43,Girdiler!$F$21)</f>
        <v/>
      </c>
      <c r="L43">
        <f>SUMPRODUCT((Girdiler!$F$23*D43&gt;Girdiler!$D$47:$D$51)*(Girdiler!$F$23*D43-Girdiler!$D$47:$D$51)*Girdiler!$C$47:$C$51)</f>
        <v/>
      </c>
      <c r="M43">
        <f>Girdiler!$F$25*Girdiler!$F$24*(1-Girdiler!$F$11)</f>
        <v/>
      </c>
      <c r="N43">
        <f>Girdiler!$F$27*Girdiler!$F$26*Girdiler!$F$23*D43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D44</f>
        <v/>
      </c>
      <c r="G44">
        <f>Girdiler!$F$13*F44</f>
        <v/>
      </c>
      <c r="H44">
        <f>G44/D44</f>
        <v/>
      </c>
      <c r="I44">
        <f>Girdiler!$F$14*G44*(1-Girdiler!$F$16)*(1+Girdiler!$F$15)</f>
        <v/>
      </c>
      <c r="J44">
        <f>IF(D44&gt;=12*Girdiler!$F$6,Girdiler!$F$19*Girdiler!$F$18*Girdiler!$F$6*Girdiler!$F$17,0)</f>
        <v/>
      </c>
      <c r="K44">
        <f>Girdiler!$F$20*MIN(Girdiler!$F$22*G44,Girdiler!$F$21)</f>
        <v/>
      </c>
      <c r="L44">
        <f>SUMPRODUCT((Girdiler!$F$23*D44&gt;Girdiler!$D$47:$D$51)*(Girdiler!$F$23*D44-Girdiler!$D$47:$D$51)*Girdiler!$C$47:$C$51)</f>
        <v/>
      </c>
      <c r="M44">
        <f>Girdiler!$F$25*Girdiler!$F$24*(1-Girdiler!$F$11)</f>
        <v/>
      </c>
      <c r="N44">
        <f>Girdiler!$F$27*Girdiler!$F$26*Girdiler!$F$23*D44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D45</f>
        <v/>
      </c>
      <c r="G45">
        <f>Girdiler!$F$13*F45</f>
        <v/>
      </c>
      <c r="H45">
        <f>G45/D45</f>
        <v/>
      </c>
      <c r="I45">
        <f>Girdiler!$F$14*G45*(1-Girdiler!$F$16)*(1+Girdiler!$F$15)</f>
        <v/>
      </c>
      <c r="J45">
        <f>IF(D45&gt;=12*Girdiler!$F$6,Girdiler!$F$19*Girdiler!$F$18*Girdiler!$F$6*Girdiler!$F$17,0)</f>
        <v/>
      </c>
      <c r="K45">
        <f>Girdiler!$F$20*MIN(Girdiler!$F$22*G45,Girdiler!$F$21)</f>
        <v/>
      </c>
      <c r="L45">
        <f>SUMPRODUCT((Girdiler!$F$23*D45&gt;Girdiler!$D$47:$D$51)*(Girdiler!$F$23*D45-Girdiler!$D$47:$D$51)*Girdiler!$C$47:$C$51)</f>
        <v/>
      </c>
      <c r="M45">
        <f>Girdiler!$F$25*Girdiler!$F$24*(1-Girdiler!$F$11)</f>
        <v/>
      </c>
      <c r="N45">
        <f>Girdiler!$F$27*Girdiler!$F$26*Girdiler!$F$23*D45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D46</f>
        <v/>
      </c>
      <c r="G46">
        <f>Girdiler!$F$13*F46</f>
        <v/>
      </c>
      <c r="H46">
        <f>G46/D46</f>
        <v/>
      </c>
      <c r="I46">
        <f>Girdiler!$F$14*G46*(1-Girdiler!$F$16)*(1+Girdiler!$F$15)</f>
        <v/>
      </c>
      <c r="J46">
        <f>IF(D46&gt;=12*Girdiler!$F$6,Girdiler!$F$19*Girdiler!$F$18*Girdiler!$F$6*Girdiler!$F$17,0)</f>
        <v/>
      </c>
      <c r="K46">
        <f>Girdiler!$F$20*MIN(Girdiler!$F$22*G46,Girdiler!$F$21)</f>
        <v/>
      </c>
      <c r="L46">
        <f>SUMPRODUCT((Girdiler!$F$23*D46&gt;Girdiler!$D$47:$D$51)*(Girdiler!$F$23*D46-Girdiler!$D$47:$D$51)*Girdiler!$C$47:$C$51)</f>
        <v/>
      </c>
      <c r="M46">
        <f>Girdiler!$F$25*Girdiler!$F$24*(1-Girdiler!$F$11)</f>
        <v/>
      </c>
      <c r="N46">
        <f>Girdiler!$F$27*Girdiler!$F$26*Girdiler!$F$23*D46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D47</f>
        <v/>
      </c>
      <c r="G47">
        <f>Girdiler!$F$13*F47</f>
        <v/>
      </c>
      <c r="H47">
        <f>G47/D47</f>
        <v/>
      </c>
      <c r="I47">
        <f>Girdiler!$F$14*G47*(1-Girdiler!$F$16)*(1+Girdiler!$F$15)</f>
        <v/>
      </c>
      <c r="J47">
        <f>IF(D47&gt;=12*Girdiler!$F$6,Girdiler!$F$19*Girdiler!$F$18*Girdiler!$F$6*Girdiler!$F$17,0)</f>
        <v/>
      </c>
      <c r="K47">
        <f>Girdiler!$F$20*MIN(Girdiler!$F$22*G47,Girdiler!$F$21)</f>
        <v/>
      </c>
      <c r="L47">
        <f>SUMPRODUCT((Girdiler!$F$23*D47&gt;Girdiler!$D$47:$D$51)*(Girdiler!$F$23*D47-Girdiler!$D$47:$D$51)*Girdiler!$C$47:$C$51)</f>
        <v/>
      </c>
      <c r="M47">
        <f>Girdiler!$F$25*Girdiler!$F$24*(1-Girdiler!$F$11)</f>
        <v/>
      </c>
      <c r="N47">
        <f>Girdiler!$F$27*Girdiler!$F$26*Girdiler!$F$23*D47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D48</f>
        <v/>
      </c>
      <c r="G48">
        <f>Girdiler!$F$13*F48</f>
        <v/>
      </c>
      <c r="H48">
        <f>G48/D48</f>
        <v/>
      </c>
      <c r="I48">
        <f>Girdiler!$F$14*G48*(1-Girdiler!$F$16)*(1+Girdiler!$F$15)</f>
        <v/>
      </c>
      <c r="J48">
        <f>IF(D48&gt;=12*Girdiler!$F$6,Girdiler!$F$19*Girdiler!$F$18*Girdiler!$F$6*Girdiler!$F$17,0)</f>
        <v/>
      </c>
      <c r="K48">
        <f>Girdiler!$F$20*MIN(Girdiler!$F$22*G48,Girdiler!$F$21)</f>
        <v/>
      </c>
      <c r="L48">
        <f>SUMPRODUCT((Girdiler!$F$23*D48&gt;Girdiler!$D$47:$D$51)*(Girdiler!$F$23*D48-Girdiler!$D$47:$D$51)*Girdiler!$C$47:$C$51)</f>
        <v/>
      </c>
      <c r="M48">
        <f>Girdiler!$F$25*Girdiler!$F$24*(1-Girdiler!$F$11)</f>
        <v/>
      </c>
      <c r="N48">
        <f>Girdiler!$F$27*Girdiler!$F$26*Girdiler!$F$23*D48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D49</f>
        <v/>
      </c>
      <c r="G49">
        <f>Girdiler!$F$13*F49</f>
        <v/>
      </c>
      <c r="H49">
        <f>G49/D49</f>
        <v/>
      </c>
      <c r="I49">
        <f>Girdiler!$F$14*G49*(1-Girdiler!$F$16)*(1+Girdiler!$F$15)</f>
        <v/>
      </c>
      <c r="J49">
        <f>IF(D49&gt;=12*Girdiler!$F$6,Girdiler!$F$19*Girdiler!$F$18*Girdiler!$F$6*Girdiler!$F$17,0)</f>
        <v/>
      </c>
      <c r="K49">
        <f>Girdiler!$F$20*MIN(Girdiler!$F$22*G49,Girdiler!$F$21)</f>
        <v/>
      </c>
      <c r="L49">
        <f>SUMPRODUCT((Girdiler!$F$23*D49&gt;Girdiler!$D$47:$D$51)*(Girdiler!$F$23*D49-Girdiler!$D$47:$D$51)*Girdiler!$C$47:$C$51)</f>
        <v/>
      </c>
      <c r="M49">
        <f>Girdiler!$F$25*Girdiler!$F$24*(1-Girdiler!$F$11)</f>
        <v/>
      </c>
      <c r="N49">
        <f>Girdiler!$F$27*Girdiler!$F$26*Girdiler!$F$23*D49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D50</f>
        <v/>
      </c>
      <c r="G50">
        <f>Girdiler!$F$13*F50</f>
        <v/>
      </c>
      <c r="H50">
        <f>G50/D50</f>
        <v/>
      </c>
      <c r="I50">
        <f>Girdiler!$F$14*G50*(1-Girdiler!$F$16)*(1+Girdiler!$F$15)</f>
        <v/>
      </c>
      <c r="J50">
        <f>IF(D50&gt;=12*Girdiler!$F$6,Girdiler!$F$19*Girdiler!$F$18*Girdiler!$F$6*Girdiler!$F$17,0)</f>
        <v/>
      </c>
      <c r="K50">
        <f>Girdiler!$F$20*MIN(Girdiler!$F$22*G50,Girdiler!$F$21)</f>
        <v/>
      </c>
      <c r="L50">
        <f>SUMPRODUCT((Girdiler!$F$23*D50&gt;Girdiler!$D$47:$D$51)*(Girdiler!$F$23*D50-Girdiler!$D$47:$D$51)*Girdiler!$C$47:$C$51)</f>
        <v/>
      </c>
      <c r="M50">
        <f>Girdiler!$F$25*Girdiler!$F$24*(1-Girdiler!$F$11)</f>
        <v/>
      </c>
      <c r="N50">
        <f>Girdiler!$F$27*Girdiler!$F$26*Girdiler!$F$23*D50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D51</f>
        <v/>
      </c>
      <c r="G51">
        <f>Girdiler!$F$13*F51</f>
        <v/>
      </c>
      <c r="H51">
        <f>G51/D51</f>
        <v/>
      </c>
      <c r="I51">
        <f>Girdiler!$F$14*G51*(1-Girdiler!$F$16)*(1+Girdiler!$F$15)</f>
        <v/>
      </c>
      <c r="J51">
        <f>IF(D51&gt;=12*Girdiler!$F$6,Girdiler!$F$19*Girdiler!$F$18*Girdiler!$F$6*Girdiler!$F$17,0)</f>
        <v/>
      </c>
      <c r="K51">
        <f>Girdiler!$F$20*MIN(Girdiler!$F$22*G51,Girdiler!$F$21)</f>
        <v/>
      </c>
      <c r="L51">
        <f>SUMPRODUCT((Girdiler!$F$23*D51&gt;Girdiler!$D$47:$D$51)*(Girdiler!$F$23*D51-Girdiler!$D$47:$D$51)*Girdiler!$C$47:$C$51)</f>
        <v/>
      </c>
      <c r="M51">
        <f>Girdiler!$F$25*Girdiler!$F$24*(1-Girdiler!$F$11)</f>
        <v/>
      </c>
      <c r="N51">
        <f>Girdiler!$F$27*Girdiler!$F$26*Girdiler!$F$23*D51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D52</f>
        <v/>
      </c>
      <c r="G52">
        <f>Girdiler!$F$13*F52</f>
        <v/>
      </c>
      <c r="H52">
        <f>G52/D52</f>
        <v/>
      </c>
      <c r="I52">
        <f>Girdiler!$F$14*G52*(1-Girdiler!$F$16)*(1+Girdiler!$F$15)</f>
        <v/>
      </c>
      <c r="J52">
        <f>IF(D52&gt;=12*Girdiler!$F$6,Girdiler!$F$19*Girdiler!$F$18*Girdiler!$F$6*Girdiler!$F$17,0)</f>
        <v/>
      </c>
      <c r="K52">
        <f>Girdiler!$F$20*MIN(Girdiler!$F$22*G52,Girdiler!$F$21)</f>
        <v/>
      </c>
      <c r="L52">
        <f>SUMPRODUCT((Girdiler!$F$23*D52&gt;Girdiler!$D$47:$D$51)*(Girdiler!$F$23*D52-Girdiler!$D$47:$D$51)*Girdiler!$C$47:$C$51)</f>
        <v/>
      </c>
      <c r="M52">
        <f>Girdiler!$F$25*Girdiler!$F$24*(1-Girdiler!$F$11)</f>
        <v/>
      </c>
      <c r="N52">
        <f>Girdiler!$F$27*Girdiler!$F$26*Girdiler!$F$23*D52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D53</f>
        <v/>
      </c>
      <c r="G53">
        <f>Girdiler!$F$13*F53</f>
        <v/>
      </c>
      <c r="H53">
        <f>G53/D53</f>
        <v/>
      </c>
      <c r="I53">
        <f>Girdiler!$F$14*G53*(1-Girdiler!$F$16)*(1+Girdiler!$F$15)</f>
        <v/>
      </c>
      <c r="J53">
        <f>IF(D53&gt;=12*Girdiler!$F$6,Girdiler!$F$19*Girdiler!$F$18*Girdiler!$F$6*Girdiler!$F$17,0)</f>
        <v/>
      </c>
      <c r="K53">
        <f>Girdiler!$F$20*MIN(Girdiler!$F$22*G53,Girdiler!$F$21)</f>
        <v/>
      </c>
      <c r="L53">
        <f>SUMPRODUCT((Girdiler!$F$23*D53&gt;Girdiler!$D$47:$D$51)*(Girdiler!$F$23*D53-Girdiler!$D$47:$D$51)*Girdiler!$C$47:$C$51)</f>
        <v/>
      </c>
      <c r="M53">
        <f>Girdiler!$F$25*Girdiler!$F$24*(1-Girdiler!$F$11)</f>
        <v/>
      </c>
      <c r="N53">
        <f>Girdiler!$F$27*Girdiler!$F$26*Girdiler!$F$23*D53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D54</f>
        <v/>
      </c>
      <c r="G54">
        <f>Girdiler!$F$13*F54</f>
        <v/>
      </c>
      <c r="H54">
        <f>G54/D54</f>
        <v/>
      </c>
      <c r="I54">
        <f>Girdiler!$F$14*G54*(1-Girdiler!$F$16)*(1+Girdiler!$F$15)</f>
        <v/>
      </c>
      <c r="J54">
        <f>IF(D54&gt;=12*Girdiler!$F$6,Girdiler!$F$19*Girdiler!$F$18*Girdiler!$F$6*Girdiler!$F$17,0)</f>
        <v/>
      </c>
      <c r="K54">
        <f>Girdiler!$F$20*MIN(Girdiler!$F$22*G54,Girdiler!$F$21)</f>
        <v/>
      </c>
      <c r="L54">
        <f>SUMPRODUCT((Girdiler!$F$23*D54&gt;Girdiler!$D$47:$D$51)*(Girdiler!$F$23*D54-Girdiler!$D$47:$D$51)*Girdiler!$C$47:$C$51)</f>
        <v/>
      </c>
      <c r="M54">
        <f>Girdiler!$F$25*Girdiler!$F$24*(1-Girdiler!$F$11)</f>
        <v/>
      </c>
      <c r="N54">
        <f>Girdiler!$F$27*Girdiler!$F$26*Girdiler!$F$23*D54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D55</f>
        <v/>
      </c>
      <c r="G55">
        <f>Girdiler!$F$13*F55</f>
        <v/>
      </c>
      <c r="H55">
        <f>G55/D55</f>
        <v/>
      </c>
      <c r="I55">
        <f>Girdiler!$F$14*G55*(1-Girdiler!$F$16)*(1+Girdiler!$F$15)</f>
        <v/>
      </c>
      <c r="J55">
        <f>IF(D55&gt;=12*Girdiler!$F$6,Girdiler!$F$19*Girdiler!$F$18*Girdiler!$F$6*Girdiler!$F$17,0)</f>
        <v/>
      </c>
      <c r="K55">
        <f>Girdiler!$F$20*MIN(Girdiler!$F$22*G55,Girdiler!$F$21)</f>
        <v/>
      </c>
      <c r="L55">
        <f>SUMPRODUCT((Girdiler!$F$23*D55&gt;Girdiler!$D$47:$D$51)*(Girdiler!$F$23*D55-Girdiler!$D$47:$D$51)*Girdiler!$C$47:$C$51)</f>
        <v/>
      </c>
      <c r="M55">
        <f>Girdiler!$F$25*Girdiler!$F$24*(1-Girdiler!$F$11)</f>
        <v/>
      </c>
      <c r="N55">
        <f>Girdiler!$F$27*Girdiler!$F$26*Girdiler!$F$23*D55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D56</f>
        <v/>
      </c>
      <c r="G56">
        <f>Girdiler!$F$13*F56</f>
        <v/>
      </c>
      <c r="H56">
        <f>G56/D56</f>
        <v/>
      </c>
      <c r="I56">
        <f>Girdiler!$F$14*G56*(1-Girdiler!$F$16)*(1+Girdiler!$F$15)</f>
        <v/>
      </c>
      <c r="J56">
        <f>IF(D56&gt;=12*Girdiler!$F$6,Girdiler!$F$19*Girdiler!$F$18*Girdiler!$F$6*Girdiler!$F$17,0)</f>
        <v/>
      </c>
      <c r="K56">
        <f>Girdiler!$F$20*MIN(Girdiler!$F$22*G56,Girdiler!$F$21)</f>
        <v/>
      </c>
      <c r="L56">
        <f>SUMPRODUCT((Girdiler!$F$23*D56&gt;Girdiler!$D$47:$D$51)*(Girdiler!$F$23*D56-Girdiler!$D$47:$D$51)*Girdiler!$C$47:$C$51)</f>
        <v/>
      </c>
      <c r="M56">
        <f>Girdiler!$F$25*Girdiler!$F$24*(1-Girdiler!$F$11)</f>
        <v/>
      </c>
      <c r="N56">
        <f>Girdiler!$F$27*Girdiler!$F$26*Girdiler!$F$23*D56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D57</f>
        <v/>
      </c>
      <c r="G57">
        <f>Girdiler!$F$13*F57</f>
        <v/>
      </c>
      <c r="H57">
        <f>G57/D57</f>
        <v/>
      </c>
      <c r="I57">
        <f>Girdiler!$F$14*G57*(1-Girdiler!$F$16)*(1+Girdiler!$F$15)</f>
        <v/>
      </c>
      <c r="J57">
        <f>IF(D57&gt;=12*Girdiler!$F$6,Girdiler!$F$19*Girdiler!$F$18*Girdiler!$F$6*Girdiler!$F$17,0)</f>
        <v/>
      </c>
      <c r="K57">
        <f>Girdiler!$F$20*MIN(Girdiler!$F$22*G57,Girdiler!$F$21)</f>
        <v/>
      </c>
      <c r="L57">
        <f>SUMPRODUCT((Girdiler!$F$23*D57&gt;Girdiler!$D$47:$D$51)*(Girdiler!$F$23*D57-Girdiler!$D$47:$D$51)*Girdiler!$C$47:$C$51)</f>
        <v/>
      </c>
      <c r="M57">
        <f>Girdiler!$F$25*Girdiler!$F$24*(1-Girdiler!$F$11)</f>
        <v/>
      </c>
      <c r="N57">
        <f>Girdiler!$F$27*Girdiler!$F$26*Girdiler!$F$23*D57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D58</f>
        <v/>
      </c>
      <c r="G58">
        <f>Girdiler!$F$13*F58</f>
        <v/>
      </c>
      <c r="H58">
        <f>G58/D58</f>
        <v/>
      </c>
      <c r="I58">
        <f>Girdiler!$F$14*G58*(1-Girdiler!$F$16)*(1+Girdiler!$F$15)</f>
        <v/>
      </c>
      <c r="J58">
        <f>IF(D58&gt;=12*Girdiler!$F$6,Girdiler!$F$19*Girdiler!$F$18*Girdiler!$F$6*Girdiler!$F$17,0)</f>
        <v/>
      </c>
      <c r="K58">
        <f>Girdiler!$F$20*MIN(Girdiler!$F$22*G58,Girdiler!$F$21)</f>
        <v/>
      </c>
      <c r="L58">
        <f>SUMPRODUCT((Girdiler!$F$23*D58&gt;Girdiler!$D$47:$D$51)*(Girdiler!$F$23*D58-Girdiler!$D$47:$D$51)*Girdiler!$C$47:$C$51)</f>
        <v/>
      </c>
      <c r="M58">
        <f>Girdiler!$F$25*Girdiler!$F$24*(1-Girdiler!$F$11)</f>
        <v/>
      </c>
      <c r="N58">
        <f>Girdiler!$F$27*Girdiler!$F$26*Girdiler!$F$23*D58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D59</f>
        <v/>
      </c>
      <c r="G59">
        <f>Girdiler!$F$13*F59</f>
        <v/>
      </c>
      <c r="H59">
        <f>G59/D59</f>
        <v/>
      </c>
      <c r="I59">
        <f>Girdiler!$F$14*G59*(1-Girdiler!$F$16)*(1+Girdiler!$F$15)</f>
        <v/>
      </c>
      <c r="J59">
        <f>IF(D59&gt;=12*Girdiler!$F$6,Girdiler!$F$19*Girdiler!$F$18*Girdiler!$F$6*Girdiler!$F$17,0)</f>
        <v/>
      </c>
      <c r="K59">
        <f>Girdiler!$F$20*MIN(Girdiler!$F$22*G59,Girdiler!$F$21)</f>
        <v/>
      </c>
      <c r="L59">
        <f>SUMPRODUCT((Girdiler!$F$23*D59&gt;Girdiler!$D$47:$D$51)*(Girdiler!$F$23*D59-Girdiler!$D$47:$D$51)*Girdiler!$C$47:$C$51)</f>
        <v/>
      </c>
      <c r="M59">
        <f>Girdiler!$F$25*Girdiler!$F$24*(1-Girdiler!$F$11)</f>
        <v/>
      </c>
      <c r="N59">
        <f>Girdiler!$F$27*Girdiler!$F$26*Girdiler!$F$23*D59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D60</f>
        <v/>
      </c>
      <c r="G60">
        <f>Girdiler!$F$13*F60</f>
        <v/>
      </c>
      <c r="H60">
        <f>G60/D60</f>
        <v/>
      </c>
      <c r="I60">
        <f>Girdiler!$F$14*G60*(1-Girdiler!$F$16)*(1+Girdiler!$F$15)</f>
        <v/>
      </c>
      <c r="J60">
        <f>IF(D60&gt;=12*Girdiler!$F$6,Girdiler!$F$19*Girdiler!$F$18*Girdiler!$F$6*Girdiler!$F$17,0)</f>
        <v/>
      </c>
      <c r="K60">
        <f>Girdiler!$F$20*MIN(Girdiler!$F$22*G60,Girdiler!$F$21)</f>
        <v/>
      </c>
      <c r="L60">
        <f>SUMPRODUCT((Girdiler!$F$23*D60&gt;Girdiler!$D$47:$D$51)*(Girdiler!$F$23*D60-Girdiler!$D$47:$D$51)*Girdiler!$C$47:$C$51)</f>
        <v/>
      </c>
      <c r="M60">
        <f>Girdiler!$F$25*Girdiler!$F$24*(1-Girdiler!$F$11)</f>
        <v/>
      </c>
      <c r="N60">
        <f>Girdiler!$F$27*Girdiler!$F$26*Girdiler!$F$23*D60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D61</f>
        <v/>
      </c>
      <c r="G61">
        <f>Girdiler!$F$13*F61</f>
        <v/>
      </c>
      <c r="H61">
        <f>G61/D61</f>
        <v/>
      </c>
      <c r="I61">
        <f>Girdiler!$F$14*G61*(1-Girdiler!$F$16)*(1+Girdiler!$F$15)</f>
        <v/>
      </c>
      <c r="J61">
        <f>IF(D61&gt;=12*Girdiler!$F$6,Girdiler!$F$19*Girdiler!$F$18*Girdiler!$F$6*Girdiler!$F$17,0)</f>
        <v/>
      </c>
      <c r="K61">
        <f>Girdiler!$F$20*MIN(Girdiler!$F$22*G61,Girdiler!$F$21)</f>
        <v/>
      </c>
      <c r="L61">
        <f>SUMPRODUCT((Girdiler!$F$23*D61&gt;Girdiler!$D$47:$D$51)*(Girdiler!$F$23*D61-Girdiler!$D$47:$D$51)*Girdiler!$C$47:$C$51)</f>
        <v/>
      </c>
      <c r="M61">
        <f>Girdiler!$F$25*Girdiler!$F$24*(1-Girdiler!$F$11)</f>
        <v/>
      </c>
      <c r="N61">
        <f>Girdiler!$F$27*Girdiler!$F$26*Girdiler!$F$23*D61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B5*(Girdiler!$F$10*SUMPRODUCT(Hesap!$E$2:$E$61,Hesap!$L$2:$L$61)+Girdiler!$F$12*SUMPRODUCT(Hesap!$E$2:$E$61,Hesap!$N$2:$N$61))</f>
        <v/>
      </c>
    </row>
    <row r="11">
      <c r="A11" t="inlineStr">
        <is>
          <t>Yutulma: prim (TL)</t>
        </is>
      </c>
      <c r="B11">
        <f>B5*Girdiler!$F$10*SUMPRODUCT(Hesap!$E$2:$E$61,Hesap!$M$2:$M$61)</f>
        <v/>
      </c>
    </row>
    <row r="12">
      <c r="A12" t="inlineStr">
        <is>
          <t>Sahte fatura kaybı (TL)</t>
        </is>
      </c>
      <c r="B12">
        <f>MAX(Girdiler!$F$30*(1-Girdiler!$F$31)*Girdiler!$F$28*B5*B2*(Girdiler!$F$29-B4),0)</f>
        <v/>
      </c>
    </row>
    <row r="13">
      <c r="A13" t="inlineStr">
        <is>
          <t>KGF maliyeti (TL)</t>
        </is>
      </c>
      <c r="B13">
        <f>B5*Girdiler!$F$32*Girdiler!$F$35*B2*Girdiler!$F$33*(1-Girdiler!$F$34)</f>
        <v/>
      </c>
    </row>
    <row r="14">
      <c r="A14" t="inlineStr">
        <is>
          <t>BT yıllık işletme (TL)</t>
        </is>
      </c>
      <c r="B14">
        <f>Girdiler!$F$39</f>
        <v/>
      </c>
    </row>
    <row r="15">
      <c r="A15" t="inlineStr">
        <is>
          <t>İtiraz gideri (TL)</t>
        </is>
      </c>
      <c r="B15">
        <f>B5*Girdiler!$F$40*Girdiler!$F$41</f>
        <v/>
      </c>
    </row>
    <row r="16">
      <c r="A16" t="inlineStr">
        <is>
          <t>Denetim (TL)</t>
        </is>
      </c>
      <c r="B16">
        <f>Girdiler!$F$42*B6</f>
        <v/>
      </c>
    </row>
    <row r="17">
      <c r="A17" s="4" t="inlineStr">
        <is>
          <t>NET HAZİNE ETKİSİ (TL/yıl)</t>
        </is>
      </c>
      <c r="B17" s="4">
        <f>B6-B7-B8-B9-B10-B11-B12-B13-B14-B15-B16</f>
        <v/>
      </c>
    </row>
    <row r="18">
      <c r="A18" t="inlineStr">
        <is>
          <t>Net (milyar TL)</t>
        </is>
      </c>
      <c r="B18">
        <f>B17/1000000000</f>
        <v/>
      </c>
    </row>
    <row r="21">
      <c r="A21" t="inlineStr">
        <is>
          <t>Not: prim_devam=0 en kötü hâldir (eski kayıtlıların primi hiç sürmez); varyantlar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 ve analiz.py ile üretilir)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-2.013885121244206</v>
      </c>
      <c r="C4" t="n">
        <v>-6.41445985704332</v>
      </c>
    </row>
    <row r="5">
      <c r="A5" t="inlineStr">
        <is>
          <t>Orta</t>
        </is>
      </c>
      <c r="B5" t="n">
        <v>1.318681980023</v>
      </c>
      <c r="C5" t="n">
        <v>3.69521576662539</v>
      </c>
    </row>
    <row r="6">
      <c r="A6" t="inlineStr">
        <is>
          <t>İyimser</t>
        </is>
      </c>
      <c r="B6" t="n">
        <v>23.71682554050645</v>
      </c>
      <c r="C6" t="n">
        <v>71.64972496970631</v>
      </c>
    </row>
    <row r="8">
      <c r="A8" s="4" t="inlineStr">
        <is>
          <t>Politika varyantları (Orta, 4. yıl net, mlr TL)</t>
        </is>
      </c>
    </row>
    <row r="9">
      <c r="A9" t="inlineStr">
        <is>
          <t>V0 Baz: %13,5; eski kayıtlıların primi hiç sürmez</t>
        </is>
      </c>
      <c r="B9" t="n">
        <v>1.318681980023</v>
      </c>
    </row>
    <row r="10">
      <c r="A10" t="inlineStr">
        <is>
          <t>V1 Eski kayıtlıların %50'si primi sürdürür</t>
        </is>
      </c>
      <c r="B10" t="n">
        <v>4.132824120023001</v>
      </c>
    </row>
    <row r="11">
      <c r="A11" t="inlineStr">
        <is>
          <t>V2 %75'i sürdürür</t>
        </is>
      </c>
      <c r="B11" t="n">
        <v>5.539895190023</v>
      </c>
    </row>
    <row r="12">
      <c r="A12" t="inlineStr">
        <is>
          <t>V3 Hepsi sürdürür</t>
        </is>
      </c>
      <c r="B12" t="n">
        <v>6.946966260023002</v>
      </c>
    </row>
    <row r="13">
      <c r="A13" t="inlineStr">
        <is>
          <t>V4 Oran %20</t>
        </is>
      </c>
      <c r="B13" t="n">
        <v>5.605830913815579</v>
      </c>
    </row>
    <row r="14">
      <c r="A14" t="inlineStr">
        <is>
          <t>V6 Oran %27 (üst sınır)</t>
        </is>
      </c>
      <c r="B14" t="n">
        <v>10.23467206349843</v>
      </c>
    </row>
    <row r="15">
      <c r="A15" t="inlineStr">
        <is>
          <t>V7 Ücretli çalışana izin verilseydi (u=%20)</t>
        </is>
      </c>
      <c r="B15" t="n">
        <v>0.3955031889298513</v>
      </c>
    </row>
    <row r="16">
      <c r="A16" t="inlineStr">
        <is>
          <t>V8 SGK tahsil oranı %50</t>
        </is>
      </c>
      <c r="B16" t="n">
        <v>3.429288585022999</v>
      </c>
    </row>
    <row r="17">
      <c r="A17" t="inlineStr">
        <is>
          <t>V9 SGK tahsil oranı %100</t>
        </is>
      </c>
      <c r="B17" t="n">
        <v>-0.08838908997700055</v>
      </c>
    </row>
    <row r="18">
      <c r="A18" t="inlineStr">
        <is>
          <t>V10 Halen kayıtlıların hepsi geçse (s=%100)</t>
        </is>
      </c>
      <c r="B18" t="n">
        <v>-35.08074749647865</v>
      </c>
    </row>
    <row r="19">
      <c r="A19" t="inlineStr">
        <is>
          <t>V11 90 gün prim hibesi olmasaydı</t>
        </is>
      </c>
      <c r="B19" t="n">
        <v>1.658587936400376</v>
      </c>
    </row>
    <row r="20">
      <c r="A20" t="inlineStr">
        <is>
          <t>V12 Donanım KDV mahsubu olmasaydı</t>
        </is>
      </c>
      <c r="B20" t="n">
        <v>1.936435777712903</v>
      </c>
    </row>
    <row r="22">
      <c r="A22" s="4" t="inlineStr">
        <is>
          <t>Kırılma noktası s* (Orta)</t>
        </is>
      </c>
      <c r="B22" t="n">
        <v>0.1807938805398902</v>
      </c>
    </row>
    <row r="24">
      <c r="A24" s="4" t="inlineStr">
        <is>
          <t>Monte Carlo (4000 deneme), 4. yıl net (mlr TL)</t>
        </is>
      </c>
    </row>
    <row r="25">
      <c r="A25" t="inlineStr">
        <is>
          <t>P5</t>
        </is>
      </c>
      <c r="B25" t="n">
        <v>-6.355437545210761</v>
      </c>
    </row>
    <row r="26">
      <c r="A26" t="inlineStr">
        <is>
          <t>P10</t>
        </is>
      </c>
      <c r="B26" t="n">
        <v>-3.380972462056701</v>
      </c>
    </row>
    <row r="27">
      <c r="A27" t="inlineStr">
        <is>
          <t>P25</t>
        </is>
      </c>
      <c r="B27" t="n">
        <v>0.3984784252397677</v>
      </c>
    </row>
    <row r="28">
      <c r="A28" t="inlineStr">
        <is>
          <t>P50</t>
        </is>
      </c>
      <c r="B28" t="n">
        <v>2.93701569013757</v>
      </c>
    </row>
    <row r="29">
      <c r="A29" t="inlineStr">
        <is>
          <t>P75</t>
        </is>
      </c>
      <c r="B29" t="n">
        <v>5.812795204092121</v>
      </c>
    </row>
    <row r="30">
      <c r="A30" t="inlineStr">
        <is>
          <t>P90</t>
        </is>
      </c>
      <c r="B30" t="n">
        <v>9.342409413022768</v>
      </c>
    </row>
    <row r="31">
      <c r="A31" t="inlineStr">
        <is>
          <t>P95</t>
        </is>
      </c>
      <c r="B31" t="n">
        <v>12.12628166050324</v>
      </c>
    </row>
    <row r="32">
      <c r="A32" t="inlineStr">
        <is>
          <t>P(net&gt;0)</t>
        </is>
      </c>
      <c r="B32" t="n">
        <v>0.77025</v>
      </c>
    </row>
    <row r="34">
      <c r="A34" s="4" t="inlineStr">
        <is>
          <t>Tornado (Orta tabanı, 4. yıl net değişimi, mlr TL)</t>
        </is>
      </c>
    </row>
    <row r="35">
      <c r="A35" t="inlineStr">
        <is>
          <t>duz_oran</t>
        </is>
      </c>
      <c r="B35" t="n">
        <v>-1.964913826520587</v>
      </c>
      <c r="C35" t="n">
        <v>8.915990083475434</v>
      </c>
    </row>
    <row r="36">
      <c r="A36" t="inlineStr">
        <is>
          <t>s_kayitli</t>
        </is>
      </c>
      <c r="B36" t="n">
        <v>6.42342873114735</v>
      </c>
      <c r="C36" t="n">
        <v>-2.141142910382449</v>
      </c>
    </row>
    <row r="37">
      <c r="A37" t="inlineStr">
        <is>
          <t>prim_devam</t>
        </is>
      </c>
      <c r="B37" t="n">
        <v>0</v>
      </c>
      <c r="C37" t="n">
        <v>5.628284280000002</v>
      </c>
    </row>
    <row r="38">
      <c r="A38" t="inlineStr">
        <is>
          <t>n_toplam</t>
        </is>
      </c>
      <c r="B38" t="n">
        <v>-0.9551828924027577</v>
      </c>
      <c r="C38" t="n">
        <v>3.163268020294853</v>
      </c>
    </row>
    <row r="39">
      <c r="A39" t="inlineStr">
        <is>
          <t>prim_odeme</t>
        </is>
      </c>
      <c r="B39" t="n">
        <v>2.814142140000001</v>
      </c>
      <c r="C39" t="n">
        <v>-1.40707107</v>
      </c>
    </row>
    <row r="40">
      <c r="A40" t="inlineStr">
        <is>
          <t>medyan_W</t>
        </is>
      </c>
      <c r="B40" t="n">
        <v>-2.372042154910663</v>
      </c>
      <c r="C40" t="n">
        <v>2.463885342496412</v>
      </c>
    </row>
    <row r="41">
      <c r="A41" t="inlineStr">
        <is>
          <t>sigma</t>
        </is>
      </c>
      <c r="B41" t="n">
        <v>-0.3384366074561423</v>
      </c>
      <c r="C41" t="n">
        <v>-0.1350771362789137</v>
      </c>
    </row>
    <row r="42">
      <c r="A42" t="inlineStr">
        <is>
          <t>kdv_donanim_pay</t>
        </is>
      </c>
      <c r="B42" t="n">
        <v>0.3088768988449516</v>
      </c>
      <c r="C42" t="n">
        <v>-0.3088768988449515</v>
      </c>
    </row>
    <row r="43">
      <c r="A43" t="inlineStr">
        <is>
          <t>marj</t>
        </is>
      </c>
      <c r="B43" t="n">
        <v>0.2516794350287991</v>
      </c>
      <c r="C43" t="n">
        <v>-0.2702672355060652</v>
      </c>
    </row>
    <row r="44">
      <c r="A44" t="inlineStr">
        <is>
          <t>myo_uygun</t>
        </is>
      </c>
      <c r="B44" t="n">
        <v>0.2427899688409824</v>
      </c>
      <c r="C44" t="n">
        <v>-0.2427899688409824</v>
      </c>
    </row>
    <row r="45">
      <c r="A45" t="inlineStr">
        <is>
          <t>kgf_alim</t>
        </is>
      </c>
      <c r="B45" t="n">
        <v>0.07180279486280036</v>
      </c>
      <c r="C45" t="n">
        <v>-0.1196713247713342</v>
      </c>
    </row>
    <row r="46">
      <c r="A46" t="inlineStr">
        <is>
          <t>kgf_temerrut</t>
        </is>
      </c>
      <c r="B46" t="n">
        <v>0.05983566238566685</v>
      </c>
      <c r="C46" t="n">
        <v>-0.1196713247713342</v>
      </c>
    </row>
    <row r="47">
      <c r="A47" t="inlineStr">
        <is>
          <t>bes_vazgecme</t>
        </is>
      </c>
      <c r="B47" t="n">
        <v>-0.08308609119838332</v>
      </c>
      <c r="C47" t="n">
        <v>0.08308609119838332</v>
      </c>
    </row>
    <row r="48">
      <c r="A48" t="inlineStr">
        <is>
          <t>phi</t>
        </is>
      </c>
      <c r="B48" t="n">
        <v>0.02752440469740677</v>
      </c>
      <c r="C48" t="n">
        <v>-0.05504880939481378</v>
      </c>
    </row>
    <row r="49">
      <c r="A49" t="inlineStr">
        <is>
          <t>onlem</t>
        </is>
      </c>
      <c r="B49" t="n">
        <v>-0.01651464281844425</v>
      </c>
      <c r="C49" t="n">
        <v>0.01651464281844401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2026-10-12T15:20:09Z</dcterms:created>
  <dcterms:modified xmlns:dcterms="http://purl.org/dc/terms/" xmlns:xsi="http://www.w3.org/2001/XMLSchema-instance" xsi:type="dcterms:W3CDTF">2026-10-12T15:20:09Z</dcterms:modified>
</cp:coreProperties>
</file>